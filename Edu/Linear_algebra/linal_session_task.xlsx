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0538AAFC-DB83-4BFC-B05A-A9F8A28FD179}" xr6:coauthVersionLast="47" xr6:coauthVersionMax="47" xr10:uidLastSave="{00000000-0000-0000-0000-000000000000}"/>
  <bookViews>
    <workbookView xWindow="3240" yWindow="1125" windowWidth="16455" windowHeight="12390" xr2:uid="{6B48EADF-CD2A-4593-B5B4-C8A55DF2A88B}"/>
  </bookViews>
  <sheets>
    <sheet name="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0" i="1" l="1"/>
  <c r="Y110" i="1" s="1"/>
  <c r="Y109" i="1"/>
  <c r="Y108" i="1"/>
  <c r="X108" i="1"/>
  <c r="P115" i="1"/>
  <c r="AB117" i="1" l="1"/>
  <c r="AB118" i="1"/>
  <c r="AA118" i="1"/>
  <c r="AA117" i="1"/>
  <c r="AC115" i="1"/>
  <c r="AA115" i="1"/>
  <c r="AB115" i="1" s="1"/>
  <c r="X115" i="1"/>
  <c r="W115" i="1"/>
  <c r="R113" i="1"/>
  <c r="T114" i="1"/>
  <c r="O113" i="1"/>
  <c r="S115" i="1"/>
  <c r="R105" i="1"/>
  <c r="R109" i="1"/>
  <c r="N109" i="1"/>
  <c r="N108" i="1"/>
  <c r="N107" i="1"/>
  <c r="N106" i="1"/>
  <c r="N105" i="1"/>
  <c r="N104" i="1"/>
  <c r="U114" i="1"/>
  <c r="S114" i="1"/>
  <c r="R114" i="1"/>
  <c r="P114" i="1"/>
  <c r="N114" i="1"/>
  <c r="S118" i="1"/>
  <c r="R119" i="1"/>
  <c r="Q118" i="1"/>
  <c r="O118" i="1"/>
  <c r="L118" i="1"/>
  <c r="I115" i="1"/>
  <c r="F115" i="1"/>
  <c r="E115" i="1"/>
  <c r="D115" i="1"/>
  <c r="C115" i="1"/>
  <c r="I114" i="1"/>
  <c r="F114" i="1"/>
  <c r="E114" i="1"/>
  <c r="D114" i="1"/>
  <c r="C114" i="1"/>
  <c r="I113" i="1"/>
  <c r="F113" i="1"/>
  <c r="E113" i="1"/>
  <c r="D113" i="1"/>
  <c r="C113" i="1"/>
  <c r="I112" i="1"/>
  <c r="F112" i="1"/>
  <c r="E112" i="1"/>
  <c r="D112" i="1"/>
  <c r="C112" i="1"/>
  <c r="I111" i="1"/>
  <c r="F111" i="1"/>
  <c r="E111" i="1"/>
  <c r="D111" i="1"/>
  <c r="C111" i="1"/>
  <c r="B115" i="1"/>
  <c r="B114" i="1"/>
  <c r="B113" i="1"/>
  <c r="B112" i="1"/>
  <c r="B111" i="1"/>
  <c r="I109" i="1"/>
  <c r="H109" i="1"/>
  <c r="G109" i="1"/>
  <c r="D109" i="1"/>
  <c r="B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S113" i="1" l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F109" i="1" l="1"/>
  <c r="E109" i="1"/>
  <c r="C109" i="1"/>
</calcChain>
</file>

<file path=xl/sharedStrings.xml><?xml version="1.0" encoding="utf-8"?>
<sst xmlns="http://schemas.openxmlformats.org/spreadsheetml/2006/main" count="108" uniqueCount="86">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</sst>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4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dimension ref="A1:AC119"/>
  <sheetViews>
    <sheetView tabSelected="1" topLeftCell="M97" workbookViewId="0">
      <selection activeCell="Y108" sqref="Y108"/>
    </sheetView>
  </sheetViews>
  <sheetFormatPr defaultRowHeight="15" x14ac:dyDescent="0.25"/>
  <cols>
    <col min="25" max="25" width="12.7109375" customWidth="1"/>
  </cols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26" x14ac:dyDescent="0.25">
      <c r="A97" s="13" t="s">
        <v>74</v>
      </c>
    </row>
    <row r="98" spans="1:26" x14ac:dyDescent="0.25">
      <c r="A98" t="s">
        <v>75</v>
      </c>
    </row>
    <row r="99" spans="1:26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</row>
    <row r="100" spans="1:26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</row>
    <row r="101" spans="1:26" x14ac:dyDescent="0.25">
      <c r="A101" t="s">
        <v>78</v>
      </c>
    </row>
    <row r="102" spans="1:26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M102" t="s">
        <v>83</v>
      </c>
      <c r="Z102">
        <v>2255</v>
      </c>
    </row>
    <row r="103" spans="1:26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</row>
    <row r="104" spans="1:26" x14ac:dyDescent="0.25">
      <c r="B104" s="7">
        <f t="shared" ref="B104:G104" si="12">B93-B$100</f>
        <v>0</v>
      </c>
      <c r="C104" s="17">
        <f t="shared" si="12"/>
        <v>-0.20000000000000284</v>
      </c>
      <c r="D104" s="7">
        <f t="shared" si="12"/>
        <v>0</v>
      </c>
      <c r="E104" s="17">
        <f t="shared" si="12"/>
        <v>-0.2</v>
      </c>
      <c r="F104" s="17">
        <f t="shared" si="12"/>
        <v>0.19999999999999996</v>
      </c>
      <c r="G104" s="7">
        <f t="shared" si="12"/>
        <v>0</v>
      </c>
      <c r="I104" s="7">
        <f t="shared" ref="I104" si="13">I93-I$100</f>
        <v>-540</v>
      </c>
      <c r="M104">
        <v>29</v>
      </c>
      <c r="N104">
        <f>M104^2</f>
        <v>841</v>
      </c>
    </row>
    <row r="105" spans="1:26" x14ac:dyDescent="0.25">
      <c r="B105" s="7">
        <f t="shared" ref="B105:G105" si="14">B94-B$100</f>
        <v>1</v>
      </c>
      <c r="C105" s="17">
        <f t="shared" si="14"/>
        <v>9.7999999999999972</v>
      </c>
      <c r="D105" s="7">
        <f t="shared" si="14"/>
        <v>-1</v>
      </c>
      <c r="E105" s="17">
        <f t="shared" si="14"/>
        <v>-0.2</v>
      </c>
      <c r="F105" s="17">
        <f t="shared" si="14"/>
        <v>0.19999999999999996</v>
      </c>
      <c r="G105" s="7">
        <f t="shared" si="14"/>
        <v>0</v>
      </c>
      <c r="I105" s="7">
        <f t="shared" ref="I105" si="15">I94-I$100</f>
        <v>-440</v>
      </c>
      <c r="M105">
        <v>76</v>
      </c>
      <c r="N105">
        <f t="shared" ref="N105:N108" si="16">M105^2</f>
        <v>5776</v>
      </c>
      <c r="R105">
        <f>5*451</f>
        <v>2255</v>
      </c>
    </row>
    <row r="106" spans="1:26" x14ac:dyDescent="0.25">
      <c r="B106" s="7">
        <f t="shared" ref="B106:G106" si="17">B95-B$100</f>
        <v>-1</v>
      </c>
      <c r="C106" s="17">
        <f t="shared" si="17"/>
        <v>-0.20000000000000284</v>
      </c>
      <c r="D106" s="7">
        <f t="shared" si="17"/>
        <v>1</v>
      </c>
      <c r="E106" s="17">
        <f t="shared" si="17"/>
        <v>0.8</v>
      </c>
      <c r="F106" s="17">
        <f t="shared" si="17"/>
        <v>-0.8</v>
      </c>
      <c r="G106" s="7">
        <f t="shared" si="17"/>
        <v>0</v>
      </c>
      <c r="I106" s="7">
        <f t="shared" ref="I106" si="18">I95-I$100</f>
        <v>2060</v>
      </c>
      <c r="M106">
        <v>1</v>
      </c>
      <c r="N106">
        <f t="shared" si="16"/>
        <v>1</v>
      </c>
    </row>
    <row r="107" spans="1:26" x14ac:dyDescent="0.25">
      <c r="A107" t="s">
        <v>79</v>
      </c>
      <c r="M107">
        <v>49</v>
      </c>
      <c r="N107">
        <f t="shared" si="16"/>
        <v>2401</v>
      </c>
    </row>
    <row r="108" spans="1:26" x14ac:dyDescent="0.25">
      <c r="A108" t="s">
        <v>80</v>
      </c>
      <c r="M108">
        <v>1</v>
      </c>
      <c r="N108">
        <f t="shared" si="16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</row>
    <row r="109" spans="1:26" x14ac:dyDescent="0.25">
      <c r="B109">
        <f>(B102^2+B103^2+B104^2+B105^2+B106^2)^(1/2)</f>
        <v>2</v>
      </c>
      <c r="C109">
        <f t="shared" ref="C109:I109" si="19">(C102^2+C103^2+C104^2+C105^2+C106^2)^(1/2)</f>
        <v>18.994736112934028</v>
      </c>
      <c r="D109">
        <f t="shared" si="19"/>
        <v>2</v>
      </c>
      <c r="E109">
        <f t="shared" si="19"/>
        <v>0.89442719099991597</v>
      </c>
      <c r="F109">
        <f t="shared" si="19"/>
        <v>0.89442719099991586</v>
      </c>
      <c r="G109">
        <f t="shared" si="19"/>
        <v>0</v>
      </c>
      <c r="H109">
        <f t="shared" si="19"/>
        <v>0</v>
      </c>
      <c r="I109">
        <f t="shared" si="19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</row>
    <row r="110" spans="1:26" x14ac:dyDescent="0.2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26" x14ac:dyDescent="0.25">
      <c r="B111" s="18">
        <f>B102/B$109</f>
        <v>0.5</v>
      </c>
      <c r="C111" s="18">
        <f t="shared" ref="C111:I111" si="20">C102/C$109</f>
        <v>0.30534775347842924</v>
      </c>
      <c r="D111" s="18">
        <f t="shared" si="20"/>
        <v>0.5</v>
      </c>
      <c r="E111" s="18">
        <f t="shared" si="20"/>
        <v>-0.22360679774997896</v>
      </c>
      <c r="F111" s="18">
        <f t="shared" si="20"/>
        <v>0.22360679774997894</v>
      </c>
      <c r="G111" s="18"/>
      <c r="H111" s="18"/>
      <c r="I111" s="18">
        <f t="shared" si="20"/>
        <v>-0.10241085157359611</v>
      </c>
    </row>
    <row r="112" spans="1:26" x14ac:dyDescent="0.25">
      <c r="B112" s="18">
        <f t="shared" ref="B112:I115" si="21">B103/B$109</f>
        <v>-0.5</v>
      </c>
      <c r="C112" s="18">
        <f t="shared" si="21"/>
        <v>-0.80022169877105653</v>
      </c>
      <c r="D112" s="18">
        <f t="shared" si="21"/>
        <v>-0.5</v>
      </c>
      <c r="E112" s="18">
        <f t="shared" si="21"/>
        <v>-0.22360679774997896</v>
      </c>
      <c r="F112" s="18">
        <f t="shared" si="21"/>
        <v>0.22360679774997894</v>
      </c>
      <c r="G112" s="18"/>
      <c r="H112" s="18"/>
      <c r="I112" s="18">
        <f t="shared" si="21"/>
        <v>-0.35843798050758635</v>
      </c>
      <c r="N112" t="s">
        <v>82</v>
      </c>
    </row>
    <row r="113" spans="2:29" x14ac:dyDescent="0.25">
      <c r="B113" s="18">
        <f t="shared" si="21"/>
        <v>0</v>
      </c>
      <c r="C113" s="18">
        <f t="shared" si="21"/>
        <v>-1.0529232878566681E-2</v>
      </c>
      <c r="D113" s="18">
        <f t="shared" si="21"/>
        <v>0</v>
      </c>
      <c r="E113" s="18">
        <f t="shared" si="21"/>
        <v>-0.22360679774997896</v>
      </c>
      <c r="F113" s="18">
        <f t="shared" si="21"/>
        <v>0.22360679774997894</v>
      </c>
      <c r="G113" s="18"/>
      <c r="H113" s="18"/>
      <c r="I113" s="18">
        <f t="shared" si="21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</row>
    <row r="114" spans="2:29" x14ac:dyDescent="0.25">
      <c r="B114" s="18">
        <f t="shared" si="21"/>
        <v>0.5</v>
      </c>
      <c r="C114" s="18">
        <f t="shared" si="21"/>
        <v>0.51593241104975984</v>
      </c>
      <c r="D114" s="18">
        <f t="shared" si="21"/>
        <v>-0.5</v>
      </c>
      <c r="E114" s="18">
        <f t="shared" si="21"/>
        <v>-0.22360679774997896</v>
      </c>
      <c r="F114" s="18">
        <f t="shared" si="21"/>
        <v>0.22360679774997894</v>
      </c>
      <c r="G114" s="18"/>
      <c r="H114" s="18"/>
      <c r="I114" s="18">
        <f t="shared" si="21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</row>
    <row r="115" spans="2:29" x14ac:dyDescent="0.25">
      <c r="B115" s="18">
        <f t="shared" si="21"/>
        <v>-0.5</v>
      </c>
      <c r="C115" s="18">
        <f t="shared" si="21"/>
        <v>-1.0529232878566681E-2</v>
      </c>
      <c r="D115" s="18">
        <f t="shared" si="21"/>
        <v>0.5</v>
      </c>
      <c r="E115" s="18">
        <f t="shared" si="21"/>
        <v>0.89442719099991586</v>
      </c>
      <c r="F115" s="18">
        <f t="shared" si="21"/>
        <v>-0.89442719099991597</v>
      </c>
      <c r="G115" s="18"/>
      <c r="H115" s="18"/>
      <c r="I115" s="18">
        <f t="shared" si="21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25">
      <c r="Z117" t="s">
        <v>84</v>
      </c>
      <c r="AA117">
        <f>90-14</f>
        <v>76</v>
      </c>
      <c r="AB117">
        <f>SQRT(AA117)</f>
        <v>8.717797887081348</v>
      </c>
    </row>
    <row r="118" spans="2:29" x14ac:dyDescent="0.2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Z118" t="s">
        <v>85</v>
      </c>
      <c r="AA118">
        <f>90+14</f>
        <v>104</v>
      </c>
      <c r="AB118">
        <f>SQRT(AA118)</f>
        <v>10.198039027185569</v>
      </c>
    </row>
    <row r="119" spans="2:29" x14ac:dyDescent="0.25">
      <c r="R119">
        <f>Q118/5</f>
        <v>45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2025-10-07T15:35:35Z</dcterms:modified>
</cp:coreProperties>
</file>