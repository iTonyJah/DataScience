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sogorA\DataScience\Edu\Linear_algebra\"/>
    </mc:Choice>
  </mc:AlternateContent>
  <xr:revisionPtr revIDLastSave="0" documentId="13_ncr:1_{3F8E7406-2506-41C1-BA10-E37616AD4BB2}" xr6:coauthVersionLast="47" xr6:coauthVersionMax="47" xr10:uidLastSave="{00000000-0000-0000-0000-000000000000}"/>
  <bookViews>
    <workbookView xWindow="-120" yWindow="-120" windowWidth="29040" windowHeight="15720" xr2:uid="{6B48EADF-CD2A-4593-B5B4-C8A55DF2A88B}"/>
  </bookViews>
  <sheets>
    <sheet name="cal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9" i="1" l="1"/>
  <c r="H109" i="1"/>
  <c r="G109" i="1"/>
  <c r="D109" i="1"/>
  <c r="B109" i="1"/>
  <c r="I99" i="1"/>
  <c r="I100" i="1" s="1"/>
  <c r="I106" i="1" s="1"/>
  <c r="G99" i="1"/>
  <c r="G100" i="1" s="1"/>
  <c r="F99" i="1"/>
  <c r="F100" i="1" s="1"/>
  <c r="E99" i="1"/>
  <c r="E100" i="1" s="1"/>
  <c r="D99" i="1"/>
  <c r="D100" i="1" s="1"/>
  <c r="C99" i="1"/>
  <c r="C100" i="1" s="1"/>
  <c r="B99" i="1"/>
  <c r="B100" i="1" s="1"/>
  <c r="A64" i="1"/>
  <c r="A63" i="1"/>
  <c r="A62" i="1"/>
  <c r="C53" i="1"/>
  <c r="B53" i="1"/>
  <c r="A53" i="1"/>
  <c r="C52" i="1"/>
  <c r="B52" i="1"/>
  <c r="A52" i="1"/>
  <c r="C51" i="1"/>
  <c r="B51" i="1"/>
  <c r="A51" i="1"/>
  <c r="I58" i="1"/>
  <c r="E58" i="1"/>
  <c r="A58" i="1"/>
  <c r="I57" i="1"/>
  <c r="E57" i="1"/>
  <c r="A57" i="1"/>
  <c r="I56" i="1"/>
  <c r="E56" i="1"/>
  <c r="A56" i="1"/>
  <c r="A46" i="1"/>
  <c r="A45" i="1"/>
  <c r="A44" i="1"/>
  <c r="A40" i="1"/>
  <c r="A39" i="1"/>
  <c r="A38" i="1"/>
  <c r="C102" i="1" l="1"/>
  <c r="C104" i="1"/>
  <c r="C103" i="1"/>
  <c r="C106" i="1"/>
  <c r="C105" i="1"/>
  <c r="B103" i="1"/>
  <c r="B102" i="1"/>
  <c r="B104" i="1"/>
  <c r="B105" i="1"/>
  <c r="B106" i="1"/>
  <c r="D104" i="1"/>
  <c r="D103" i="1"/>
  <c r="D102" i="1"/>
  <c r="D105" i="1"/>
  <c r="D106" i="1"/>
  <c r="E102" i="1"/>
  <c r="E103" i="1"/>
  <c r="E104" i="1"/>
  <c r="E106" i="1"/>
  <c r="E105" i="1"/>
  <c r="F104" i="1"/>
  <c r="F105" i="1"/>
  <c r="F103" i="1"/>
  <c r="F106" i="1"/>
  <c r="F102" i="1"/>
  <c r="G104" i="1"/>
  <c r="G103" i="1"/>
  <c r="G102" i="1"/>
  <c r="G106" i="1"/>
  <c r="G105" i="1"/>
  <c r="I102" i="1"/>
  <c r="I103" i="1"/>
  <c r="I104" i="1"/>
  <c r="I105" i="1"/>
  <c r="F109" i="1" l="1"/>
  <c r="E109" i="1"/>
  <c r="C109" i="1"/>
</calcChain>
</file>

<file path=xl/sharedStrings.xml><?xml version="1.0" encoding="utf-8"?>
<sst xmlns="http://schemas.openxmlformats.org/spreadsheetml/2006/main" count="103" uniqueCount="81">
  <si>
    <t>Рабочая таблица с данными:</t>
  </si>
  <si>
    <t>Комнаты</t>
  </si>
  <si>
    <t>Площадь</t>
  </si>
  <si>
    <t>Этаж</t>
  </si>
  <si>
    <t>Центр</t>
  </si>
  <si>
    <t>Спальный 1</t>
  </si>
  <si>
    <t>Спальный 2</t>
  </si>
  <si>
    <t>Цена</t>
  </si>
  <si>
    <t>матрица X</t>
  </si>
  <si>
    <t>Y</t>
  </si>
  <si>
    <t>Задание 1. Ассоциативность умножения матриц</t>
  </si>
  <si>
    <t>Пусть X  — это матрица признаков. Её размерность: 3 строки Х 3 столбца. Возьмем 3 первые квартиры и 3 признака: «Комнаты», «Площадь» и «Этаж».</t>
  </si>
  <si>
    <t>Пусть Y — это вектор-столбец цен для этих трех квартир. Его размерность: 3 строки Х 1 столбец.</t>
  </si>
  <si>
    <t>в регрессии часто встречаются выражения такого вида.</t>
  </si>
  <si>
    <t>Цель научиться с ними работать.</t>
  </si>
  <si>
    <t>Задача:</t>
  </si>
  <si>
    <t>1. Вычислите результат умножения</t>
  </si>
  <si>
    <t>Способ 1</t>
  </si>
  <si>
    <t>(u - для промежуточных вычислений)</t>
  </si>
  <si>
    <t>Способ 1 (скобки справа): сначала вычислите </t>
  </si>
  <si>
    <t>затем</t>
  </si>
  <si>
    <t>Способ 2 (скобки слева): сначала вычислите</t>
  </si>
  <si>
    <t>(M - для промежуточных вычислений)</t>
  </si>
  <si>
    <t>2. Выполните вычисления двумя способами и сравните количество скалярных операций (умножений и сложений):</t>
  </si>
  <si>
    <t>3. Сравните количество скалярных операций в каждом способе.</t>
  </si>
  <si>
    <t>4. Сделайте вывод: почему в задачах анализа данных важно выбирать порядок вычислений, если матрицы могут быть очень большими?</t>
  </si>
  <si>
    <t>Решение:</t>
  </si>
  <si>
    <t>Вычислим u, произведение матрицы Х размером 3 строки на 3 столбца и вектора столбца Y. В результате получим вектор столбец u размером 3х1</t>
  </si>
  <si>
    <t>u</t>
  </si>
  <si>
    <t>Для первого элемента перемножим элементы строк левой матрицы с соответствующими элементами столбца правой матрицы.</t>
  </si>
  <si>
    <t xml:space="preserve">  =3*2200 + 51*1600 + 3 * 1900</t>
  </si>
  <si>
    <t xml:space="preserve">  =1*2200 + 30*1600 + 1 * 1900</t>
  </si>
  <si>
    <t xml:space="preserve">  =2*2200 + 45*1600 + 2 * 1900</t>
  </si>
  <si>
    <t>Найдём произведение транспонированной матрицы Х слева на получившийся вектор u.</t>
  </si>
  <si>
    <t xml:space="preserve">   =3*93900 + 1*52100 + 2*80200</t>
  </si>
  <si>
    <t xml:space="preserve">   =51*93900 + 30*52100 + 45*80200</t>
  </si>
  <si>
    <t>Итого еще 15 операций или всего 30 операций.</t>
  </si>
  <si>
    <t>Способ 2</t>
  </si>
  <si>
    <t>I столбец</t>
  </si>
  <si>
    <t>II столбец</t>
  </si>
  <si>
    <t xml:space="preserve">   =3*51 + 1*30 + 2*45</t>
  </si>
  <si>
    <t xml:space="preserve">   =51*51 + 30*30 + 45*45</t>
  </si>
  <si>
    <t>III столбец</t>
  </si>
  <si>
    <t>матрица М</t>
  </si>
  <si>
    <t>Найдём матрицу М, произведение транспонированой матрицы X (3*3) и Х (3*3), в резульате получим матрицу размера 3 на 3.</t>
  </si>
  <si>
    <t>Первый столбец матрицы М получаем так же как и при умножении на первый вектор столбец, а второй и третий умножением на соответствующие столбцы.</t>
  </si>
  <si>
    <t xml:space="preserve">   =3*3 + 1*1 + 2*2</t>
  </si>
  <si>
    <t xml:space="preserve">   =51*3 + 30*1 + 45*2</t>
  </si>
  <si>
    <t xml:space="preserve">   =3*3 + 1*1 + 2*</t>
  </si>
  <si>
    <t>Итого 15 операций на столбец, всего 45 операций.</t>
  </si>
  <si>
    <t>Итого в каждой строке у нас 3 умножения и 2 сложения, 5 операций на строку, 15 на весь вектор.</t>
  </si>
  <si>
    <t>Найдём произведение матрицы М и вектора-столбца Y.</t>
  </si>
  <si>
    <t xml:space="preserve">   =273*2200 + 5526*1600 + 273*1900</t>
  </si>
  <si>
    <t xml:space="preserve">   = 14*2200 + 273*1600 + 14*1900</t>
  </si>
  <si>
    <t>Итого 15 операций. Всего 60 операций (15+45).</t>
  </si>
  <si>
    <t>Первый и второй спсоб перемножения дают нам один и тот же ветор столбец.</t>
  </si>
  <si>
    <t>В первом способе нам потребовалось 30 операций, а во втором 60.</t>
  </si>
  <si>
    <t>Ответ:</t>
  </si>
  <si>
    <t>Вывод: для задач по анализу данных следует выбирать порядок умножения матриц с меньшими размерностями справа,</t>
  </si>
  <si>
    <t>тогда нам понадобится меньше операций для вычисления, что может быть существенным при матрицах большого размера.</t>
  </si>
  <si>
    <t>Задание 2. Связь признаков с ценой</t>
  </si>
  <si>
    <t>2. Для каждого признака вычислите коэффициент корреляции с ценой.</t>
  </si>
  <si>
    <t>3. Определите признак с наибольшей и наименьшей связью.</t>
  </si>
  <si>
    <t>4. Объясните, почему выделение таких признаков важно для предсказательной модели.</t>
  </si>
  <si>
    <t>5. Для бинарных признаков дайте содержательную интерпретацию: что означает положительный или отрицательный знак корреляции?</t>
  </si>
  <si>
    <t>Дополнительное задание*</t>
  </si>
  <si>
    <t>Для одного из бинарных признаков проверьте свой вывод: сравните среднюю цену для квартир, где признак равен 1, и для квартир, где признак равен 0.</t>
  </si>
  <si>
    <t>1. Составьте матрицу признаков X и вектор цен Y.</t>
  </si>
  <si>
    <t>1.</t>
  </si>
  <si>
    <t>Матрица признаков Х (5х6)</t>
  </si>
  <si>
    <t>Вектор цен Y (5х1)</t>
  </si>
  <si>
    <t>Для вас результат — это цена квартиры, а признаки — её характеристики (площадь, этаж, район и так далее).</t>
  </si>
  <si>
    <t>Для числовых признаков (как «Площадь», «Комнаты», «Этаж») корреляция Пирсона измеряет силу линейной зависимости с ценой.</t>
  </si>
  <si>
    <t>Для бинарных признаков (как «Центр», «Спальный 1», «Спальный 2») коэффициент корреляции Пирсона вычисляется точно по той же формуле, но в статистике такой случай имеет специальное название — точечно-бисериальная корреляция. Она показывает, насколько наличие характеристики (значение 1) связано с изменением среднего значения цены по сравнению с её отсутствием (значение 0).</t>
  </si>
  <si>
    <t>2. Вычислить коэфициент корреляции:</t>
  </si>
  <si>
    <t>Произведём центрирование вектора (приведём среднее к нулю).</t>
  </si>
  <si>
    <t>Сумма</t>
  </si>
  <si>
    <t>Среднее</t>
  </si>
  <si>
    <t>Центрированные вектора матрицы признаков Х:</t>
  </si>
  <si>
    <t>Сумма всех всех векторов столбцов равна нулю.</t>
  </si>
  <si>
    <t>Длина вектора: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</si>
</sst>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charset val="204"/>
      <scheme val="minor"/>
    </font>
    <font>
      <b/>
      <sz val="7"/>
      <color rgb="FF7B7A7D"/>
      <name val="Arial"/>
      <family val="2"/>
      <charset val="204"/>
    </font>
    <font>
      <sz val="7"/>
      <color rgb="FF181818"/>
      <name val="Arial"/>
      <family val="2"/>
      <charset val="204"/>
    </font>
    <font>
      <b/>
      <sz val="18"/>
      <color rgb="FF181818"/>
      <name val="Arial"/>
      <family val="2"/>
      <charset val="204"/>
    </font>
    <font>
      <b/>
      <sz val="11"/>
      <color rgb="FF313131"/>
      <name val="Arial"/>
      <family val="2"/>
      <charset val="204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9F8FA"/>
        <bgColor indexed="64"/>
      </patternFill>
    </fill>
  </fills>
  <borders count="4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0" fillId="0" borderId="2" xfId="0" applyBorder="1"/>
    <xf numFmtId="0" fontId="0" fillId="0" borderId="0" xfId="0" quotePrefix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3" fontId="0" fillId="0" borderId="2" xfId="0" applyNumberFormat="1" applyBorder="1"/>
    <xf numFmtId="0" fontId="7" fillId="0" borderId="0" xfId="0" applyFont="1"/>
    <xf numFmtId="0" fontId="8" fillId="0" borderId="0" xfId="0" applyFont="1"/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12" fontId="0" fillId="0" borderId="2" xfId="0" applyNumberFormat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5C79018-182E-4F9A-AB42-D02B8D9086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25400</xdr:colOff>
      <xdr:row>12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3</xdr:col>
      <xdr:colOff>374650</xdr:colOff>
      <xdr:row>22</xdr:row>
      <xdr:rowOff>158750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514350</xdr:colOff>
      <xdr:row>24</xdr:row>
      <xdr:rowOff>177800</xdr:rowOff>
    </xdr:from>
    <xdr:ext cx="65405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5461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355600</xdr:colOff>
      <xdr:row>26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546100" cy="2105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6</xdr:col>
      <xdr:colOff>0</xdr:colOff>
      <xdr:row>41</xdr:row>
      <xdr:rowOff>177800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165100</xdr:rowOff>
    </xdr:from>
    <xdr:ext cx="546100" cy="177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38100</xdr:colOff>
      <xdr:row>49</xdr:row>
      <xdr:rowOff>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152400</xdr:rowOff>
    </xdr:from>
    <xdr:ext cx="546100" cy="190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6350</xdr:colOff>
      <xdr:row>66</xdr:row>
      <xdr:rowOff>165100</xdr:rowOff>
    </xdr:from>
    <xdr:ext cx="5969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473075</xdr:colOff>
      <xdr:row>96</xdr:row>
      <xdr:rowOff>95250</xdr:rowOff>
    </xdr:from>
    <xdr:ext cx="143135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𝑐𝑒𝑛𝑡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𝑚𝑒𝑎𝑛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ru-RU" sz="105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(𝑥_𝑐𝑒𝑛𝑡 ) ⃗=𝑥 ⃗−(𝑥_𝑚𝑒𝑎𝑛 ) ⃗</a:t>
              </a:r>
              <a:endParaRPr lang="ru-RU" sz="1050"/>
            </a:p>
          </xdr:txBody>
        </xdr:sp>
      </mc:Fallback>
    </mc:AlternateContent>
    <xdr:clientData/>
  </xdr:oneCellAnchor>
  <xdr:oneCellAnchor>
    <xdr:from>
      <xdr:col>9</xdr:col>
      <xdr:colOff>161925</xdr:colOff>
      <xdr:row>107</xdr:row>
      <xdr:rowOff>50800</xdr:rowOff>
    </xdr:from>
    <xdr:ext cx="991875" cy="4613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𝑠𝑡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</m:num>
                      <m:den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(𝑥_𝑠𝑡 ) ⃗=(𝑥_𝑐𝑒𝑛𝑡 ) ⃗/(\|(𝑥_𝑐𝑒𝑛𝑡 ) ⃗\|)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5A48-0D57-45D1-AF67-58628EB4925B}">
  <dimension ref="A1:L109"/>
  <sheetViews>
    <sheetView tabSelected="1" topLeftCell="A82" workbookViewId="0">
      <selection activeCell="I100" sqref="I100"/>
    </sheetView>
  </sheetViews>
  <sheetFormatPr defaultRowHeight="15" x14ac:dyDescent="0.25"/>
  <sheetData>
    <row r="1" spans="1:7" ht="15.75" thickBot="1" x14ac:dyDescent="0.3">
      <c r="A1" s="5" t="s">
        <v>0</v>
      </c>
    </row>
    <row r="2" spans="1:7" ht="15.75" thickBo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.75" thickBot="1" x14ac:dyDescent="0.3">
      <c r="A3" s="2">
        <v>3</v>
      </c>
      <c r="B3" s="2">
        <v>51</v>
      </c>
      <c r="C3" s="2">
        <v>3</v>
      </c>
      <c r="D3" s="2">
        <v>0</v>
      </c>
      <c r="E3" s="2">
        <v>1</v>
      </c>
      <c r="F3" s="2">
        <v>0</v>
      </c>
      <c r="G3" s="2">
        <v>2200</v>
      </c>
    </row>
    <row r="4" spans="1:7" ht="15.75" thickBot="1" x14ac:dyDescent="0.3">
      <c r="A4" s="3">
        <v>1</v>
      </c>
      <c r="B4" s="3">
        <v>30</v>
      </c>
      <c r="C4" s="3">
        <v>1</v>
      </c>
      <c r="D4" s="3">
        <v>0</v>
      </c>
      <c r="E4" s="3">
        <v>1</v>
      </c>
      <c r="F4" s="3">
        <v>0</v>
      </c>
      <c r="G4" s="3">
        <v>1600</v>
      </c>
    </row>
    <row r="5" spans="1:7" ht="15.75" thickBot="1" x14ac:dyDescent="0.3">
      <c r="A5" s="3">
        <v>2</v>
      </c>
      <c r="B5" s="3">
        <v>45</v>
      </c>
      <c r="C5" s="3">
        <v>2</v>
      </c>
      <c r="D5" s="3">
        <v>0</v>
      </c>
      <c r="E5" s="3">
        <v>1</v>
      </c>
      <c r="F5" s="3">
        <v>0</v>
      </c>
      <c r="G5" s="3">
        <v>1900</v>
      </c>
    </row>
    <row r="6" spans="1:7" ht="15.75" thickBot="1" x14ac:dyDescent="0.3">
      <c r="A6" s="3">
        <v>3</v>
      </c>
      <c r="B6" s="3">
        <v>55</v>
      </c>
      <c r="C6" s="3">
        <v>1</v>
      </c>
      <c r="D6" s="3">
        <v>0</v>
      </c>
      <c r="E6" s="3">
        <v>1</v>
      </c>
      <c r="F6" s="3">
        <v>0</v>
      </c>
      <c r="G6" s="3">
        <v>2000</v>
      </c>
    </row>
    <row r="7" spans="1:7" ht="15.75" thickBot="1" x14ac:dyDescent="0.3">
      <c r="A7" s="3">
        <v>1</v>
      </c>
      <c r="B7" s="3">
        <v>45</v>
      </c>
      <c r="C7" s="3">
        <v>3</v>
      </c>
      <c r="D7" s="3">
        <v>1</v>
      </c>
      <c r="E7" s="3">
        <v>0</v>
      </c>
      <c r="F7" s="3">
        <v>0</v>
      </c>
      <c r="G7" s="3">
        <v>4500</v>
      </c>
    </row>
    <row r="9" spans="1:7" ht="23.25" x14ac:dyDescent="0.35">
      <c r="A9" s="4" t="s">
        <v>10</v>
      </c>
    </row>
    <row r="11" spans="1:7" x14ac:dyDescent="0.25">
      <c r="A11" t="s">
        <v>11</v>
      </c>
    </row>
    <row r="12" spans="1:7" x14ac:dyDescent="0.25">
      <c r="A12" t="s">
        <v>12</v>
      </c>
    </row>
    <row r="14" spans="1:7" x14ac:dyDescent="0.25">
      <c r="C14" t="s">
        <v>13</v>
      </c>
    </row>
    <row r="15" spans="1:7" x14ac:dyDescent="0.25">
      <c r="C15" t="s">
        <v>14</v>
      </c>
    </row>
    <row r="17" spans="1:7" ht="15.75" thickBot="1" x14ac:dyDescent="0.3">
      <c r="A17" t="s">
        <v>8</v>
      </c>
      <c r="E17" t="s">
        <v>9</v>
      </c>
    </row>
    <row r="18" spans="1:7" ht="15.75" thickBot="1" x14ac:dyDescent="0.3">
      <c r="A18" s="2">
        <v>3</v>
      </c>
      <c r="B18" s="2">
        <v>51</v>
      </c>
      <c r="C18" s="2">
        <v>3</v>
      </c>
      <c r="E18" s="2">
        <v>2200</v>
      </c>
    </row>
    <row r="19" spans="1:7" ht="15.75" thickBot="1" x14ac:dyDescent="0.3">
      <c r="A19" s="3">
        <v>1</v>
      </c>
      <c r="B19" s="3">
        <v>30</v>
      </c>
      <c r="C19" s="3">
        <v>1</v>
      </c>
      <c r="E19" s="3">
        <v>1600</v>
      </c>
    </row>
    <row r="20" spans="1:7" ht="15.75" thickBot="1" x14ac:dyDescent="0.3">
      <c r="A20" s="3">
        <v>2</v>
      </c>
      <c r="B20" s="3">
        <v>45</v>
      </c>
      <c r="C20" s="3">
        <v>2</v>
      </c>
      <c r="E20" s="3">
        <v>1900</v>
      </c>
    </row>
    <row r="22" spans="1:7" x14ac:dyDescent="0.25">
      <c r="A22" s="6" t="s">
        <v>15</v>
      </c>
    </row>
    <row r="24" spans="1:7" x14ac:dyDescent="0.25">
      <c r="A24" t="s">
        <v>16</v>
      </c>
    </row>
    <row r="25" spans="1:7" x14ac:dyDescent="0.25">
      <c r="A25" t="s">
        <v>23</v>
      </c>
    </row>
    <row r="26" spans="1:7" x14ac:dyDescent="0.25">
      <c r="A26" t="s">
        <v>19</v>
      </c>
      <c r="G26" t="s">
        <v>20</v>
      </c>
    </row>
    <row r="27" spans="1:7" x14ac:dyDescent="0.25">
      <c r="A27" t="s">
        <v>18</v>
      </c>
    </row>
    <row r="28" spans="1:7" x14ac:dyDescent="0.25">
      <c r="A28" t="s">
        <v>21</v>
      </c>
      <c r="G28" t="s">
        <v>20</v>
      </c>
    </row>
    <row r="29" spans="1:7" x14ac:dyDescent="0.25">
      <c r="A29" t="s">
        <v>22</v>
      </c>
    </row>
    <row r="30" spans="1:7" x14ac:dyDescent="0.25">
      <c r="A30" t="s">
        <v>24</v>
      </c>
    </row>
    <row r="31" spans="1:7" x14ac:dyDescent="0.25">
      <c r="A31" t="s">
        <v>25</v>
      </c>
    </row>
    <row r="33" spans="1:12" ht="15.75" x14ac:dyDescent="0.25">
      <c r="A33" s="14" t="s">
        <v>26</v>
      </c>
    </row>
    <row r="34" spans="1:12" x14ac:dyDescent="0.25">
      <c r="A34" s="6" t="s">
        <v>17</v>
      </c>
    </row>
    <row r="35" spans="1:12" x14ac:dyDescent="0.25">
      <c r="A35" t="s">
        <v>27</v>
      </c>
    </row>
    <row r="36" spans="1:12" x14ac:dyDescent="0.25">
      <c r="A36" t="s">
        <v>29</v>
      </c>
    </row>
    <row r="37" spans="1:12" x14ac:dyDescent="0.25">
      <c r="A37" s="10" t="s">
        <v>28</v>
      </c>
      <c r="G37" s="6" t="s">
        <v>8</v>
      </c>
      <c r="J37" s="10" t="s">
        <v>9</v>
      </c>
    </row>
    <row r="38" spans="1:12" x14ac:dyDescent="0.25">
      <c r="A38" s="7">
        <f>F38*J$38+G38*J$39+H38*J$40</f>
        <v>93900</v>
      </c>
      <c r="B38" s="8" t="s">
        <v>30</v>
      </c>
      <c r="F38" s="7">
        <v>3</v>
      </c>
      <c r="G38" s="7">
        <v>51</v>
      </c>
      <c r="H38" s="7">
        <v>3</v>
      </c>
      <c r="J38" s="7">
        <v>2200</v>
      </c>
      <c r="L38" s="8"/>
    </row>
    <row r="39" spans="1:12" x14ac:dyDescent="0.25">
      <c r="A39" s="7">
        <f t="shared" ref="A39:A40" si="0">F39*J$38+G39*J$39+H39*J$40</f>
        <v>52100</v>
      </c>
      <c r="B39" s="8" t="s">
        <v>31</v>
      </c>
      <c r="F39" s="7">
        <v>1</v>
      </c>
      <c r="G39" s="7">
        <v>30</v>
      </c>
      <c r="H39" s="7">
        <v>1</v>
      </c>
      <c r="J39" s="7">
        <v>1600</v>
      </c>
      <c r="L39" s="8"/>
    </row>
    <row r="40" spans="1:12" x14ac:dyDescent="0.25">
      <c r="A40" s="7">
        <f t="shared" si="0"/>
        <v>80200</v>
      </c>
      <c r="B40" s="8" t="s">
        <v>32</v>
      </c>
      <c r="F40" s="7">
        <v>2</v>
      </c>
      <c r="G40" s="7">
        <v>45</v>
      </c>
      <c r="H40" s="7">
        <v>2</v>
      </c>
      <c r="J40" s="7">
        <v>1900</v>
      </c>
      <c r="L40" s="8"/>
    </row>
    <row r="41" spans="1:12" x14ac:dyDescent="0.25">
      <c r="B41" s="11" t="s">
        <v>50</v>
      </c>
    </row>
    <row r="42" spans="1:12" x14ac:dyDescent="0.25">
      <c r="A42" t="s">
        <v>33</v>
      </c>
    </row>
    <row r="43" spans="1:12" x14ac:dyDescent="0.25">
      <c r="A43" s="10"/>
      <c r="J43" s="10" t="s">
        <v>28</v>
      </c>
    </row>
    <row r="44" spans="1:12" x14ac:dyDescent="0.25">
      <c r="A44" s="12">
        <f>F44*J$44+G44*J$45+H44*J$46</f>
        <v>494200</v>
      </c>
      <c r="B44" s="8" t="s">
        <v>34</v>
      </c>
      <c r="F44" s="7">
        <v>3</v>
      </c>
      <c r="G44" s="7">
        <v>1</v>
      </c>
      <c r="H44" s="7">
        <v>2</v>
      </c>
      <c r="J44" s="12">
        <v>93900</v>
      </c>
      <c r="L44" s="8"/>
    </row>
    <row r="45" spans="1:12" x14ac:dyDescent="0.25">
      <c r="A45" s="12">
        <f t="shared" ref="A45:A46" si="1">F45*J$44+G45*J$45+H45*J$46</f>
        <v>9960900</v>
      </c>
      <c r="B45" s="8" t="s">
        <v>35</v>
      </c>
      <c r="F45" s="7">
        <v>51</v>
      </c>
      <c r="G45" s="7">
        <v>30</v>
      </c>
      <c r="H45" s="7">
        <v>45</v>
      </c>
      <c r="J45" s="12">
        <v>52100</v>
      </c>
      <c r="L45" s="8"/>
    </row>
    <row r="46" spans="1:12" x14ac:dyDescent="0.25">
      <c r="A46" s="12">
        <f t="shared" si="1"/>
        <v>494200</v>
      </c>
      <c r="B46" s="8" t="s">
        <v>34</v>
      </c>
      <c r="F46" s="7">
        <v>3</v>
      </c>
      <c r="G46" s="7">
        <v>1</v>
      </c>
      <c r="H46" s="7">
        <v>2</v>
      </c>
      <c r="J46" s="12">
        <v>80200</v>
      </c>
      <c r="L46" s="8"/>
    </row>
    <row r="47" spans="1:12" x14ac:dyDescent="0.25">
      <c r="B47" s="11" t="s">
        <v>36</v>
      </c>
    </row>
    <row r="48" spans="1:12" x14ac:dyDescent="0.25">
      <c r="A48" s="6" t="s">
        <v>37</v>
      </c>
    </row>
    <row r="49" spans="1:12" x14ac:dyDescent="0.25">
      <c r="A49" t="s">
        <v>44</v>
      </c>
    </row>
    <row r="50" spans="1:12" x14ac:dyDescent="0.25">
      <c r="B50" s="6" t="s">
        <v>43</v>
      </c>
      <c r="K50" s="6" t="s">
        <v>8</v>
      </c>
    </row>
    <row r="51" spans="1:12" x14ac:dyDescent="0.25">
      <c r="A51" s="12">
        <f>$F51*J$51+$G51*J$52+$H51*J$53</f>
        <v>14</v>
      </c>
      <c r="B51" s="12">
        <f t="shared" ref="B51:B53" si="2">$F51*K$51+$G51*K$52+$H51*K$53</f>
        <v>273</v>
      </c>
      <c r="C51" s="12">
        <f t="shared" ref="C51:C53" si="3">$F51*L$51+$G51*L$52+$H51*L$53</f>
        <v>14</v>
      </c>
      <c r="F51" s="7">
        <v>3</v>
      </c>
      <c r="G51" s="7">
        <v>1</v>
      </c>
      <c r="H51" s="7">
        <v>2</v>
      </c>
      <c r="J51" s="7">
        <v>3</v>
      </c>
      <c r="K51" s="7">
        <v>51</v>
      </c>
      <c r="L51" s="7">
        <v>3</v>
      </c>
    </row>
    <row r="52" spans="1:12" x14ac:dyDescent="0.25">
      <c r="A52" s="12">
        <f t="shared" ref="A52:A53" si="4">$F52*J$51+$G52*J$52+$H52*J$53</f>
        <v>273</v>
      </c>
      <c r="B52" s="12">
        <f t="shared" si="2"/>
        <v>5526</v>
      </c>
      <c r="C52" s="12">
        <f t="shared" si="3"/>
        <v>273</v>
      </c>
      <c r="F52" s="7">
        <v>51</v>
      </c>
      <c r="G52" s="7">
        <v>30</v>
      </c>
      <c r="H52" s="7">
        <v>45</v>
      </c>
      <c r="J52" s="7">
        <v>1</v>
      </c>
      <c r="K52" s="7">
        <v>30</v>
      </c>
      <c r="L52" s="7">
        <v>1</v>
      </c>
    </row>
    <row r="53" spans="1:12" x14ac:dyDescent="0.25">
      <c r="A53" s="12">
        <f t="shared" si="4"/>
        <v>14</v>
      </c>
      <c r="B53" s="12">
        <f t="shared" si="2"/>
        <v>273</v>
      </c>
      <c r="C53" s="12">
        <f t="shared" si="3"/>
        <v>14</v>
      </c>
      <c r="F53" s="7">
        <v>3</v>
      </c>
      <c r="G53" s="7">
        <v>1</v>
      </c>
      <c r="H53" s="7">
        <v>2</v>
      </c>
      <c r="J53" s="7">
        <v>2</v>
      </c>
      <c r="K53" s="7">
        <v>45</v>
      </c>
      <c r="L53" s="7">
        <v>2</v>
      </c>
    </row>
    <row r="54" spans="1:12" x14ac:dyDescent="0.25">
      <c r="A54" t="s">
        <v>45</v>
      </c>
    </row>
    <row r="55" spans="1:12" x14ac:dyDescent="0.25">
      <c r="A55" t="s">
        <v>38</v>
      </c>
      <c r="E55" t="s">
        <v>39</v>
      </c>
      <c r="I55" t="s">
        <v>42</v>
      </c>
    </row>
    <row r="56" spans="1:12" x14ac:dyDescent="0.25">
      <c r="A56" s="12">
        <f>$F51*J$51+$G51*J$52+$H51*J$53</f>
        <v>14</v>
      </c>
      <c r="B56" s="8" t="s">
        <v>46</v>
      </c>
      <c r="E56" s="12">
        <f>$F51*K$51+$G51*K$52+$H51*K$53</f>
        <v>273</v>
      </c>
      <c r="F56" s="8" t="s">
        <v>40</v>
      </c>
      <c r="I56" s="12">
        <f>$F51*L$51+$G51*L$52+$H51*L$53</f>
        <v>14</v>
      </c>
      <c r="J56" s="8" t="s">
        <v>46</v>
      </c>
    </row>
    <row r="57" spans="1:12" x14ac:dyDescent="0.25">
      <c r="A57" s="12">
        <f>$F52*J$51+$G52*J$52+$H52*J$53</f>
        <v>273</v>
      </c>
      <c r="B57" s="8" t="s">
        <v>47</v>
      </c>
      <c r="E57" s="12">
        <f>$F52*K$51+$G52*K$52+$H52*K$53</f>
        <v>5526</v>
      </c>
      <c r="F57" s="8" t="s">
        <v>41</v>
      </c>
      <c r="I57" s="12">
        <f>$F52*L$51+$G52*L$52+$H52*L$53</f>
        <v>273</v>
      </c>
      <c r="J57" s="8" t="s">
        <v>47</v>
      </c>
    </row>
    <row r="58" spans="1:12" x14ac:dyDescent="0.25">
      <c r="A58" s="12">
        <f>$F53*J$51+$G53*J$52+$H53*J$53</f>
        <v>14</v>
      </c>
      <c r="B58" s="8" t="s">
        <v>46</v>
      </c>
      <c r="E58" s="12">
        <f>$F53*K$51+$G53*K$52+$H53*K$53</f>
        <v>273</v>
      </c>
      <c r="F58" s="8" t="s">
        <v>40</v>
      </c>
      <c r="I58" s="12">
        <f>$F53*L$51+$G53*L$52+$H53*L$53</f>
        <v>14</v>
      </c>
      <c r="J58" s="8" t="s">
        <v>48</v>
      </c>
    </row>
    <row r="59" spans="1:12" x14ac:dyDescent="0.25">
      <c r="B59" s="11" t="s">
        <v>49</v>
      </c>
    </row>
    <row r="60" spans="1:12" x14ac:dyDescent="0.25">
      <c r="A60" t="s">
        <v>51</v>
      </c>
      <c r="B60" s="8"/>
      <c r="F60" s="8"/>
    </row>
    <row r="61" spans="1:12" x14ac:dyDescent="0.25">
      <c r="G61" s="6" t="s">
        <v>43</v>
      </c>
      <c r="J61" s="10" t="s">
        <v>9</v>
      </c>
    </row>
    <row r="62" spans="1:12" x14ac:dyDescent="0.25">
      <c r="A62" s="12">
        <f>F62*J$62+G62*J$63+H62*J$64</f>
        <v>494200</v>
      </c>
      <c r="B62" s="8" t="s">
        <v>53</v>
      </c>
      <c r="F62" s="12">
        <v>14</v>
      </c>
      <c r="G62" s="12">
        <v>273</v>
      </c>
      <c r="H62" s="12">
        <v>14</v>
      </c>
      <c r="J62" s="7">
        <v>2200</v>
      </c>
    </row>
    <row r="63" spans="1:12" x14ac:dyDescent="0.25">
      <c r="A63" s="12">
        <f t="shared" ref="A63:A64" si="5">F63*J$62+G63*J$63+H63*J$64</f>
        <v>9960900</v>
      </c>
      <c r="B63" s="8" t="s">
        <v>52</v>
      </c>
      <c r="F63" s="12">
        <v>273</v>
      </c>
      <c r="G63" s="12">
        <v>5526</v>
      </c>
      <c r="H63" s="12">
        <v>273</v>
      </c>
      <c r="J63" s="7">
        <v>1600</v>
      </c>
    </row>
    <row r="64" spans="1:12" x14ac:dyDescent="0.25">
      <c r="A64" s="12">
        <f t="shared" si="5"/>
        <v>494200</v>
      </c>
      <c r="B64" s="8" t="s">
        <v>53</v>
      </c>
      <c r="F64" s="12">
        <v>14</v>
      </c>
      <c r="G64" s="12">
        <v>273</v>
      </c>
      <c r="H64" s="12">
        <v>14</v>
      </c>
      <c r="J64" s="7">
        <v>1900</v>
      </c>
    </row>
    <row r="65" spans="1:3" x14ac:dyDescent="0.25">
      <c r="B65" s="11" t="s">
        <v>54</v>
      </c>
    </row>
    <row r="67" spans="1:3" x14ac:dyDescent="0.25">
      <c r="A67" s="6" t="s">
        <v>57</v>
      </c>
      <c r="B67" s="8"/>
    </row>
    <row r="68" spans="1:3" x14ac:dyDescent="0.25">
      <c r="C68" s="8" t="s">
        <v>55</v>
      </c>
    </row>
    <row r="69" spans="1:3" x14ac:dyDescent="0.25">
      <c r="A69" s="12">
        <v>494200</v>
      </c>
      <c r="C69" s="8" t="s">
        <v>56</v>
      </c>
    </row>
    <row r="70" spans="1:3" x14ac:dyDescent="0.25">
      <c r="A70" s="12">
        <v>9960900</v>
      </c>
      <c r="C70" t="s">
        <v>58</v>
      </c>
    </row>
    <row r="71" spans="1:3" x14ac:dyDescent="0.25">
      <c r="A71" s="12">
        <v>494200</v>
      </c>
      <c r="C71" t="s">
        <v>59</v>
      </c>
    </row>
    <row r="74" spans="1:3" ht="23.25" x14ac:dyDescent="0.25">
      <c r="A74" s="15" t="s">
        <v>60</v>
      </c>
    </row>
    <row r="75" spans="1:3" x14ac:dyDescent="0.25">
      <c r="A75" t="s">
        <v>71</v>
      </c>
    </row>
    <row r="76" spans="1:3" x14ac:dyDescent="0.25">
      <c r="A76" t="s">
        <v>72</v>
      </c>
    </row>
    <row r="77" spans="1:3" x14ac:dyDescent="0.25">
      <c r="A77" t="s">
        <v>73</v>
      </c>
    </row>
    <row r="78" spans="1:3" x14ac:dyDescent="0.25">
      <c r="A78" s="6" t="s">
        <v>15</v>
      </c>
    </row>
    <row r="79" spans="1:3" x14ac:dyDescent="0.25">
      <c r="A79" t="s">
        <v>67</v>
      </c>
    </row>
    <row r="80" spans="1:3" x14ac:dyDescent="0.25">
      <c r="A80" t="s">
        <v>61</v>
      </c>
    </row>
    <row r="81" spans="1:9" x14ac:dyDescent="0.25">
      <c r="A81" t="s">
        <v>62</v>
      </c>
    </row>
    <row r="82" spans="1:9" x14ac:dyDescent="0.25">
      <c r="A82" t="s">
        <v>63</v>
      </c>
    </row>
    <row r="83" spans="1:9" x14ac:dyDescent="0.25">
      <c r="A83" t="s">
        <v>64</v>
      </c>
    </row>
    <row r="84" spans="1:9" x14ac:dyDescent="0.25">
      <c r="A84" t="s">
        <v>65</v>
      </c>
    </row>
    <row r="85" spans="1:9" x14ac:dyDescent="0.25">
      <c r="A85" t="s">
        <v>66</v>
      </c>
    </row>
    <row r="87" spans="1:9" x14ac:dyDescent="0.25">
      <c r="A87" s="6" t="s">
        <v>26</v>
      </c>
    </row>
    <row r="88" spans="1:9" x14ac:dyDescent="0.25">
      <c r="A88" s="13" t="s">
        <v>68</v>
      </c>
    </row>
    <row r="89" spans="1:9" x14ac:dyDescent="0.25"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I89" t="s">
        <v>7</v>
      </c>
    </row>
    <row r="90" spans="1:9" x14ac:dyDescent="0.25">
      <c r="C90" s="16"/>
      <c r="D90" s="16"/>
      <c r="E90" s="16" t="s">
        <v>69</v>
      </c>
      <c r="F90" s="16"/>
      <c r="G90" s="16"/>
      <c r="I90" s="9" t="s">
        <v>70</v>
      </c>
    </row>
    <row r="91" spans="1:9" x14ac:dyDescent="0.25">
      <c r="B91" s="7">
        <v>3</v>
      </c>
      <c r="C91" s="7">
        <v>51</v>
      </c>
      <c r="D91" s="7">
        <v>3</v>
      </c>
      <c r="E91" s="7">
        <v>0</v>
      </c>
      <c r="F91" s="7">
        <v>1</v>
      </c>
      <c r="G91" s="7">
        <v>0</v>
      </c>
      <c r="I91" s="7">
        <v>2200</v>
      </c>
    </row>
    <row r="92" spans="1:9" x14ac:dyDescent="0.25">
      <c r="B92" s="7">
        <v>1</v>
      </c>
      <c r="C92" s="7">
        <v>30</v>
      </c>
      <c r="D92" s="7">
        <v>1</v>
      </c>
      <c r="E92" s="7">
        <v>0</v>
      </c>
      <c r="F92" s="7">
        <v>1</v>
      </c>
      <c r="G92" s="7">
        <v>0</v>
      </c>
      <c r="I92" s="7">
        <v>1600</v>
      </c>
    </row>
    <row r="93" spans="1:9" x14ac:dyDescent="0.25">
      <c r="B93" s="7">
        <v>2</v>
      </c>
      <c r="C93" s="7">
        <v>45</v>
      </c>
      <c r="D93" s="7">
        <v>2</v>
      </c>
      <c r="E93" s="7">
        <v>0</v>
      </c>
      <c r="F93" s="7">
        <v>1</v>
      </c>
      <c r="G93" s="7">
        <v>0</v>
      </c>
      <c r="I93" s="7">
        <v>1900</v>
      </c>
    </row>
    <row r="94" spans="1:9" x14ac:dyDescent="0.25">
      <c r="B94" s="7">
        <v>3</v>
      </c>
      <c r="C94" s="7">
        <v>55</v>
      </c>
      <c r="D94" s="7">
        <v>1</v>
      </c>
      <c r="E94" s="7">
        <v>0</v>
      </c>
      <c r="F94" s="7">
        <v>1</v>
      </c>
      <c r="G94" s="7">
        <v>0</v>
      </c>
      <c r="I94" s="7">
        <v>2000</v>
      </c>
    </row>
    <row r="95" spans="1:9" x14ac:dyDescent="0.25">
      <c r="B95" s="7">
        <v>1</v>
      </c>
      <c r="C95" s="7">
        <v>45</v>
      </c>
      <c r="D95" s="7">
        <v>3</v>
      </c>
      <c r="E95" s="7">
        <v>1</v>
      </c>
      <c r="F95" s="7">
        <v>0</v>
      </c>
      <c r="G95" s="7">
        <v>0</v>
      </c>
      <c r="I95" s="7">
        <v>4500</v>
      </c>
    </row>
    <row r="97" spans="1:9" x14ac:dyDescent="0.25">
      <c r="A97" s="13" t="s">
        <v>74</v>
      </c>
    </row>
    <row r="98" spans="1:9" x14ac:dyDescent="0.25">
      <c r="A98" t="s">
        <v>75</v>
      </c>
    </row>
    <row r="99" spans="1:9" x14ac:dyDescent="0.25">
      <c r="A99" t="s">
        <v>76</v>
      </c>
      <c r="B99">
        <f>SUM(B91:B95)</f>
        <v>10</v>
      </c>
      <c r="C99">
        <f t="shared" ref="C99:I99" si="6">SUM(C91:C95)</f>
        <v>226</v>
      </c>
      <c r="D99">
        <f t="shared" si="6"/>
        <v>10</v>
      </c>
      <c r="E99">
        <f t="shared" si="6"/>
        <v>1</v>
      </c>
      <c r="F99">
        <f t="shared" si="6"/>
        <v>4</v>
      </c>
      <c r="G99">
        <f t="shared" si="6"/>
        <v>0</v>
      </c>
      <c r="I99">
        <f t="shared" si="6"/>
        <v>12200</v>
      </c>
    </row>
    <row r="100" spans="1:9" x14ac:dyDescent="0.25">
      <c r="A100" t="s">
        <v>77</v>
      </c>
      <c r="B100">
        <f>B99/5</f>
        <v>2</v>
      </c>
      <c r="C100" s="17">
        <f t="shared" ref="C100:I100" si="7">C99/5</f>
        <v>45.2</v>
      </c>
      <c r="D100">
        <f t="shared" si="7"/>
        <v>2</v>
      </c>
      <c r="E100" s="17">
        <f t="shared" si="7"/>
        <v>0.2</v>
      </c>
      <c r="F100" s="17">
        <f t="shared" si="7"/>
        <v>0.8</v>
      </c>
      <c r="G100">
        <f t="shared" si="7"/>
        <v>0</v>
      </c>
      <c r="I100">
        <f t="shared" si="7"/>
        <v>2440</v>
      </c>
    </row>
    <row r="101" spans="1:9" x14ac:dyDescent="0.25">
      <c r="A101" t="s">
        <v>78</v>
      </c>
    </row>
    <row r="102" spans="1:9" x14ac:dyDescent="0.25">
      <c r="B102" s="7">
        <f>B91-B$100</f>
        <v>1</v>
      </c>
      <c r="C102" s="17">
        <f t="shared" ref="C102:G102" si="8">C91-C$100</f>
        <v>5.7999999999999972</v>
      </c>
      <c r="D102" s="7">
        <f t="shared" si="8"/>
        <v>1</v>
      </c>
      <c r="E102" s="17">
        <f t="shared" si="8"/>
        <v>-0.2</v>
      </c>
      <c r="F102" s="17">
        <f t="shared" si="8"/>
        <v>0.19999999999999996</v>
      </c>
      <c r="G102" s="7">
        <f t="shared" si="8"/>
        <v>0</v>
      </c>
      <c r="I102" s="7">
        <f t="shared" ref="I102" si="9">I91-I$100</f>
        <v>-240</v>
      </c>
    </row>
    <row r="103" spans="1:9" x14ac:dyDescent="0.25">
      <c r="B103" s="7">
        <f t="shared" ref="B103:G103" si="10">B92-B$100</f>
        <v>-1</v>
      </c>
      <c r="C103" s="17">
        <f t="shared" si="10"/>
        <v>-15.200000000000003</v>
      </c>
      <c r="D103" s="7">
        <f t="shared" si="10"/>
        <v>-1</v>
      </c>
      <c r="E103" s="17">
        <f t="shared" si="10"/>
        <v>-0.2</v>
      </c>
      <c r="F103" s="17">
        <f t="shared" si="10"/>
        <v>0.19999999999999996</v>
      </c>
      <c r="G103" s="7">
        <f t="shared" si="10"/>
        <v>0</v>
      </c>
      <c r="I103" s="7">
        <f t="shared" ref="I103" si="11">I92-I$100</f>
        <v>-840</v>
      </c>
    </row>
    <row r="104" spans="1:9" x14ac:dyDescent="0.25">
      <c r="B104" s="7">
        <f t="shared" ref="B104:G104" si="12">B93-B$100</f>
        <v>0</v>
      </c>
      <c r="C104" s="17">
        <f t="shared" si="12"/>
        <v>-0.20000000000000284</v>
      </c>
      <c r="D104" s="7">
        <f t="shared" si="12"/>
        <v>0</v>
      </c>
      <c r="E104" s="17">
        <f t="shared" si="12"/>
        <v>-0.2</v>
      </c>
      <c r="F104" s="17">
        <f t="shared" si="12"/>
        <v>0.19999999999999996</v>
      </c>
      <c r="G104" s="7">
        <f t="shared" si="12"/>
        <v>0</v>
      </c>
      <c r="I104" s="7">
        <f t="shared" ref="I104" si="13">I93-I$100</f>
        <v>-540</v>
      </c>
    </row>
    <row r="105" spans="1:9" x14ac:dyDescent="0.25">
      <c r="B105" s="7">
        <f t="shared" ref="B105:G105" si="14">B94-B$100</f>
        <v>1</v>
      </c>
      <c r="C105" s="17">
        <f t="shared" si="14"/>
        <v>9.7999999999999972</v>
      </c>
      <c r="D105" s="7">
        <f t="shared" si="14"/>
        <v>-1</v>
      </c>
      <c r="E105" s="17">
        <f t="shared" si="14"/>
        <v>-0.2</v>
      </c>
      <c r="F105" s="17">
        <f t="shared" si="14"/>
        <v>0.19999999999999996</v>
      </c>
      <c r="G105" s="7">
        <f t="shared" si="14"/>
        <v>0</v>
      </c>
      <c r="I105" s="7">
        <f t="shared" ref="I105" si="15">I94-I$100</f>
        <v>-440</v>
      </c>
    </row>
    <row r="106" spans="1:9" x14ac:dyDescent="0.25">
      <c r="B106" s="7">
        <f t="shared" ref="B106:G106" si="16">B95-B$100</f>
        <v>-1</v>
      </c>
      <c r="C106" s="17">
        <f t="shared" si="16"/>
        <v>-0.20000000000000284</v>
      </c>
      <c r="D106" s="7">
        <f t="shared" si="16"/>
        <v>1</v>
      </c>
      <c r="E106" s="17">
        <f t="shared" si="16"/>
        <v>0.8</v>
      </c>
      <c r="F106" s="17">
        <f t="shared" si="16"/>
        <v>-0.8</v>
      </c>
      <c r="G106" s="7">
        <f t="shared" si="16"/>
        <v>0</v>
      </c>
      <c r="I106" s="7">
        <f t="shared" ref="I106" si="17">I95-I$100</f>
        <v>2060</v>
      </c>
    </row>
    <row r="107" spans="1:9" x14ac:dyDescent="0.25">
      <c r="A107" t="s">
        <v>79</v>
      </c>
    </row>
    <row r="108" spans="1:9" x14ac:dyDescent="0.25">
      <c r="A108" t="s">
        <v>80</v>
      </c>
    </row>
    <row r="109" spans="1:9" x14ac:dyDescent="0.25">
      <c r="B109">
        <f>(B102^2+B103^2+B104^2+B105^2+B106^2)^(1/2)</f>
        <v>2</v>
      </c>
      <c r="C109">
        <f t="shared" ref="C109:I109" si="18">(C102^2+C103^2+C104^2+C105^2+C106^2)^(1/2)</f>
        <v>18.994736112934028</v>
      </c>
      <c r="D109">
        <f t="shared" si="18"/>
        <v>2</v>
      </c>
      <c r="E109">
        <f t="shared" si="18"/>
        <v>0.89442719099991597</v>
      </c>
      <c r="F109">
        <f t="shared" si="18"/>
        <v>0.89442719099991586</v>
      </c>
      <c r="G109">
        <f t="shared" si="18"/>
        <v>0</v>
      </c>
      <c r="H109">
        <f t="shared" si="18"/>
        <v>0</v>
      </c>
      <c r="I109">
        <f t="shared" si="18"/>
        <v>2343.5016535091245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iTony Jah</cp:lastModifiedBy>
  <dcterms:created xsi:type="dcterms:W3CDTF">2025-10-05T12:07:44Z</dcterms:created>
  <dcterms:modified xsi:type="dcterms:W3CDTF">2025-10-06T08:32:09Z</dcterms:modified>
</cp:coreProperties>
</file>