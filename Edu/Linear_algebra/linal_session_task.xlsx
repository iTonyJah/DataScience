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B14622D1-950D-4276-8BAF-F21B4B73FF8B}" xr6:coauthVersionLast="47" xr6:coauthVersionMax="47" xr10:uidLastSave="{00000000-0000-0000-0000-000000000000}"/>
  <bookViews>
    <workbookView xWindow="-110" yWindow="-110" windowWidth="19420" windowHeight="11500" xr2:uid="{6B48EADF-CD2A-4593-B5B4-C8A55DF2A88B}"/>
  </bookViews>
  <sheets>
    <sheet name="1" sheetId="1" r:id="rId1"/>
    <sheet name="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" i="1" l="1"/>
  <c r="H109" i="1"/>
  <c r="G109" i="1"/>
  <c r="F109" i="1"/>
  <c r="E109" i="1"/>
  <c r="D109" i="1"/>
  <c r="C109" i="1"/>
  <c r="B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2"/>
  <c r="A63" i="2"/>
  <c r="A62" i="2"/>
  <c r="I58" i="2"/>
  <c r="E58" i="2"/>
  <c r="A58" i="2"/>
  <c r="I57" i="2"/>
  <c r="E57" i="2"/>
  <c r="A57" i="2"/>
  <c r="I56" i="2"/>
  <c r="E56" i="2"/>
  <c r="A56" i="2"/>
  <c r="C53" i="2"/>
  <c r="B53" i="2"/>
  <c r="A53" i="2"/>
  <c r="C52" i="2"/>
  <c r="B52" i="2"/>
  <c r="A52" i="2"/>
  <c r="C51" i="2"/>
  <c r="B51" i="2"/>
  <c r="A51" i="2"/>
  <c r="A46" i="2"/>
  <c r="A45" i="2"/>
  <c r="A44" i="2"/>
  <c r="A40" i="2"/>
  <c r="A39" i="2"/>
  <c r="A38" i="2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C102" i="1" l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</calcChain>
</file>

<file path=xl/sharedStrings.xml><?xml version="1.0" encoding="utf-8"?>
<sst xmlns="http://schemas.openxmlformats.org/spreadsheetml/2006/main" count="197" uniqueCount="82">
  <si>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</si>
  <si>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</si>
  <si>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</si>
  <si>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</si>
  <si>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</si>
  <si>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</si>
  <si>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</si>
  <si>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</si>
  <si>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</si>
  <si>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</si>
  <si>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</si>
  <si>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</si>
  <si>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</si>
  <si>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</si>
  <si>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</si>
  <si>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</si>
  <si>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</si>
  <si>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</si>
  <si>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</si>
  <si>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</si>
  <si>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</si>
  <si>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</si>
  <si>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</si>
  <si>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</si>
  <si>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</si>
  <si>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</si>
  <si>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</si>
  <si>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</si>
  <si>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</si>
  <si>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</si>
  <si>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</si>
  <si>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</si>
  <si>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</si>
  <si>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</si>
  <si>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</si>
  <si>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</si>
  <si>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</si>
  <si>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</si>
  <si>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</si>
  <si>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</si>
  <si>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</si>
  <si>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</si>
  <si>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</si>
  <si>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</si>
  <si>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</si>
  <si>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</si>
  <si>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</si>
  <si>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</si>
  <si>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</si>
  <si>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</si>
  <si>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</si>
  <si>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</si>
  <si>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</si>
  <si>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</si>
  <si>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</si>
  <si>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</si>
  <si>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</si>
  <si>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</si>
  <si>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</si>
  <si>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</si>
  <si>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</si>
  <si>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</si>
  <si>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</si>
  <si>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</si>
  <si>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</si>
  <si>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</si>
  <si>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</si>
  <si>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</si>
  <si>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</si>
  <si>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2.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</si>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</sst>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4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Fill="1" applyBorder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0" fillId="0" borderId="0" xfId="0" quotePrefix="1" applyFill="1" applyBorder="1"/>
    <xf numFmtId="0" fontId="0" fillId="0" borderId="0" xfId="0" quotePrefix="1" applyFill="1" applyBorder="1" applyAlignment="1"/>
    <xf numFmtId="0" fontId="0" fillId="0" borderId="0" xfId="0" applyFill="1" applyBorder="1" applyAlignme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-1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29052F3-C66C-4F86-8233-773967A1B565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-1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29052F3-C66C-4F86-8233-773967A1B565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D48B6F-E69B-46F6-980C-4DA63F9FB042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D48B6F-E69B-46F6-980C-4DA63F9FB042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943E3A2-EB3E-4BBE-A59D-2C64BE30F571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943E3A2-EB3E-4BBE-A59D-2C64BE30F571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ECADD3-9A6F-4549-9EC1-91A86F3AF6D2}"/>
                </a:ext>
              </a:extLst>
            </xdr:cNvPr>
            <xdr:cNvSpPr txBox="1"/>
          </xdr:nvSpPr>
          <xdr:spPr>
            <a:xfrm>
              <a:off x="4267200" y="478155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ECADD3-9A6F-4549-9EC1-91A86F3AF6D2}"/>
                </a:ext>
              </a:extLst>
            </xdr:cNvPr>
            <xdr:cNvSpPr txBox="1"/>
          </xdr:nvSpPr>
          <xdr:spPr>
            <a:xfrm>
              <a:off x="4267200" y="478155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18B0606-25A2-4171-807E-88FA812B1EEB}"/>
                </a:ext>
              </a:extLst>
            </xdr:cNvPr>
            <xdr:cNvSpPr txBox="1"/>
          </xdr:nvSpPr>
          <xdr:spPr>
            <a:xfrm>
              <a:off x="2794000" y="51371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18B0606-25A2-4171-807E-88FA812B1EEB}"/>
                </a:ext>
              </a:extLst>
            </xdr:cNvPr>
            <xdr:cNvSpPr txBox="1"/>
          </xdr:nvSpPr>
          <xdr:spPr>
            <a:xfrm>
              <a:off x="2794000" y="51371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81E014EF-31B1-460A-9580-4F8ADB5678C0}"/>
                </a:ext>
              </a:extLst>
            </xdr:cNvPr>
            <xdr:cNvSpPr txBox="1"/>
          </xdr:nvSpPr>
          <xdr:spPr>
            <a:xfrm>
              <a:off x="4267200" y="514985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81E014EF-31B1-460A-9580-4F8ADB5678C0}"/>
                </a:ext>
              </a:extLst>
            </xdr:cNvPr>
            <xdr:cNvSpPr txBox="1"/>
          </xdr:nvSpPr>
          <xdr:spPr>
            <a:xfrm>
              <a:off x="4267200" y="514985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01BE8A9-A19D-46B2-9E64-7EDC1BDCBC4B}"/>
                </a:ext>
              </a:extLst>
            </xdr:cNvPr>
            <xdr:cNvSpPr txBox="1"/>
          </xdr:nvSpPr>
          <xdr:spPr>
            <a:xfrm>
              <a:off x="3657600" y="79248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01BE8A9-A19D-46B2-9E64-7EDC1BDCBC4B}"/>
                </a:ext>
              </a:extLst>
            </xdr:cNvPr>
            <xdr:cNvSpPr txBox="1"/>
          </xdr:nvSpPr>
          <xdr:spPr>
            <a:xfrm>
              <a:off x="3657600" y="79248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46C753A-AAE2-4D49-A996-E1949D6FEA0A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46C753A-AAE2-4D49-A996-E1949D6FEA0A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0DDCD70-35D5-46BD-AB10-C7EA98BB39C2}"/>
                </a:ext>
              </a:extLst>
            </xdr:cNvPr>
            <xdr:cNvSpPr txBox="1"/>
          </xdr:nvSpPr>
          <xdr:spPr>
            <a:xfrm>
              <a:off x="3695700" y="92202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0DDCD70-35D5-46BD-AB10-C7EA98BB39C2}"/>
                </a:ext>
              </a:extLst>
            </xdr:cNvPr>
            <xdr:cNvSpPr txBox="1"/>
          </xdr:nvSpPr>
          <xdr:spPr>
            <a:xfrm>
              <a:off x="3695700" y="92202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EDE7F6EA-57FD-4F2B-BA74-9E7734625934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EDE7F6EA-57FD-4F2B-BA74-9E7734625934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D44DF6A-3904-42AD-9DE7-5B51625B846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D44DF6A-3904-42AD-9DE7-5B51625B846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dimension ref="A1:L109"/>
  <sheetViews>
    <sheetView tabSelected="1" topLeftCell="A89" workbookViewId="0">
      <selection activeCell="A109" sqref="A109"/>
    </sheetView>
  </sheetViews>
  <sheetFormatPr defaultRowHeight="14.5" x14ac:dyDescent="0.35"/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50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36</v>
      </c>
    </row>
    <row r="48" spans="1:12" x14ac:dyDescent="0.35">
      <c r="A48" s="6" t="s">
        <v>37</v>
      </c>
    </row>
    <row r="49" spans="1:12" x14ac:dyDescent="0.35">
      <c r="A49" t="s">
        <v>44</v>
      </c>
    </row>
    <row r="50" spans="1:12" x14ac:dyDescent="0.35">
      <c r="B50" s="6" t="s">
        <v>43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45</v>
      </c>
    </row>
    <row r="55" spans="1:12" x14ac:dyDescent="0.35">
      <c r="A55" t="s">
        <v>38</v>
      </c>
      <c r="E55" t="s">
        <v>39</v>
      </c>
      <c r="I55" t="s">
        <v>42</v>
      </c>
    </row>
    <row r="56" spans="1:12" x14ac:dyDescent="0.3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3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3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35">
      <c r="B59" s="11" t="s">
        <v>49</v>
      </c>
    </row>
    <row r="60" spans="1:12" x14ac:dyDescent="0.35">
      <c r="A60" t="s">
        <v>51</v>
      </c>
      <c r="B60" s="8"/>
      <c r="F60" s="8"/>
    </row>
    <row r="61" spans="1:12" x14ac:dyDescent="0.35">
      <c r="G61" s="6" t="s">
        <v>43</v>
      </c>
      <c r="J61" s="10" t="s">
        <v>9</v>
      </c>
    </row>
    <row r="62" spans="1:12" x14ac:dyDescent="0.35">
      <c r="A62" s="12">
        <f>F62*J$62+G62*J$63+H62*J$64</f>
        <v>494200</v>
      </c>
      <c r="B62" s="15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5">F63*J$62+G63*J$63+H63*J$64</f>
        <v>9960900</v>
      </c>
      <c r="B63" s="15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5"/>
        <v>494200</v>
      </c>
      <c r="B64" s="15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54</v>
      </c>
    </row>
    <row r="67" spans="1:3" x14ac:dyDescent="0.35">
      <c r="A67" s="6" t="s">
        <v>57</v>
      </c>
      <c r="B67" s="15"/>
    </row>
    <row r="68" spans="1:3" x14ac:dyDescent="0.35">
      <c r="C68" s="16" t="s">
        <v>55</v>
      </c>
    </row>
    <row r="69" spans="1:3" x14ac:dyDescent="0.35">
      <c r="A69" s="12">
        <v>494200</v>
      </c>
      <c r="C69" s="16" t="s">
        <v>56</v>
      </c>
    </row>
    <row r="70" spans="1:3" x14ac:dyDescent="0.35">
      <c r="A70" s="12">
        <v>9960900</v>
      </c>
      <c r="C70" s="17" t="s">
        <v>58</v>
      </c>
    </row>
    <row r="71" spans="1:3" x14ac:dyDescent="0.35">
      <c r="A71" s="12">
        <v>494200</v>
      </c>
      <c r="C71" s="17" t="s">
        <v>59</v>
      </c>
    </row>
    <row r="74" spans="1:3" ht="23" x14ac:dyDescent="0.35">
      <c r="A74" s="18" t="s">
        <v>60</v>
      </c>
    </row>
    <row r="75" spans="1:3" x14ac:dyDescent="0.35">
      <c r="A75" t="s">
        <v>72</v>
      </c>
    </row>
    <row r="76" spans="1:3" x14ac:dyDescent="0.35">
      <c r="A76" t="s">
        <v>73</v>
      </c>
    </row>
    <row r="77" spans="1:3" x14ac:dyDescent="0.35">
      <c r="A77" t="s">
        <v>74</v>
      </c>
    </row>
    <row r="78" spans="1:3" x14ac:dyDescent="0.35">
      <c r="A78" s="6" t="s">
        <v>15</v>
      </c>
    </row>
    <row r="79" spans="1:3" x14ac:dyDescent="0.35">
      <c r="A79" t="s">
        <v>67</v>
      </c>
    </row>
    <row r="80" spans="1:3" x14ac:dyDescent="0.35">
      <c r="A80" t="s">
        <v>61</v>
      </c>
    </row>
    <row r="81" spans="1:9" x14ac:dyDescent="0.35">
      <c r="A81" t="s">
        <v>62</v>
      </c>
    </row>
    <row r="82" spans="1:9" x14ac:dyDescent="0.35">
      <c r="A82" t="s">
        <v>63</v>
      </c>
    </row>
    <row r="83" spans="1:9" x14ac:dyDescent="0.35">
      <c r="A83" t="s">
        <v>64</v>
      </c>
    </row>
    <row r="84" spans="1:9" x14ac:dyDescent="0.35">
      <c r="A84" t="s">
        <v>65</v>
      </c>
    </row>
    <row r="85" spans="1:9" x14ac:dyDescent="0.35">
      <c r="A85" t="s">
        <v>66</v>
      </c>
    </row>
    <row r="87" spans="1:9" x14ac:dyDescent="0.35">
      <c r="A87" s="6" t="s">
        <v>26</v>
      </c>
    </row>
    <row r="88" spans="1:9" x14ac:dyDescent="0.35">
      <c r="A88" s="13" t="s">
        <v>68</v>
      </c>
    </row>
    <row r="89" spans="1:9" x14ac:dyDescent="0.3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35">
      <c r="C90" s="19"/>
      <c r="D90" s="19"/>
      <c r="E90" s="19" t="s">
        <v>70</v>
      </c>
      <c r="F90" s="19"/>
      <c r="G90" s="19"/>
      <c r="I90" s="9" t="s">
        <v>71</v>
      </c>
    </row>
    <row r="91" spans="1:9" x14ac:dyDescent="0.3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3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3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3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3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9" x14ac:dyDescent="0.35">
      <c r="A97" s="13" t="s">
        <v>75</v>
      </c>
    </row>
    <row r="98" spans="1:9" x14ac:dyDescent="0.35">
      <c r="A98" t="s">
        <v>76</v>
      </c>
    </row>
    <row r="99" spans="1:9" x14ac:dyDescent="0.35">
      <c r="A99" t="s">
        <v>77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</row>
    <row r="100" spans="1:9" x14ac:dyDescent="0.35">
      <c r="A100" t="s">
        <v>78</v>
      </c>
      <c r="B100">
        <f>B99/5</f>
        <v>2</v>
      </c>
      <c r="C100">
        <f t="shared" ref="C100:I100" si="7">C99/5</f>
        <v>45.2</v>
      </c>
      <c r="D100">
        <f t="shared" si="7"/>
        <v>2</v>
      </c>
      <c r="E100">
        <f t="shared" si="7"/>
        <v>0.2</v>
      </c>
      <c r="F100">
        <f t="shared" si="7"/>
        <v>0.8</v>
      </c>
      <c r="G100">
        <f t="shared" si="7"/>
        <v>0</v>
      </c>
      <c r="I100">
        <f t="shared" si="7"/>
        <v>2440</v>
      </c>
    </row>
    <row r="101" spans="1:9" x14ac:dyDescent="0.35">
      <c r="A101" t="s">
        <v>79</v>
      </c>
    </row>
    <row r="102" spans="1:9" x14ac:dyDescent="0.35">
      <c r="B102" s="7">
        <f>B91-B$100</f>
        <v>1</v>
      </c>
      <c r="C102" s="20">
        <f t="shared" ref="C102:G102" si="8">C91-C$100</f>
        <v>5.7999999999999972</v>
      </c>
      <c r="D102" s="7">
        <f t="shared" si="8"/>
        <v>1</v>
      </c>
      <c r="E102" s="7">
        <f t="shared" si="8"/>
        <v>-0.2</v>
      </c>
      <c r="F102" s="7">
        <f t="shared" si="8"/>
        <v>0.19999999999999996</v>
      </c>
      <c r="G102" s="7">
        <f t="shared" si="8"/>
        <v>0</v>
      </c>
      <c r="I102" s="7">
        <f t="shared" ref="I102" si="9">I91-I$100</f>
        <v>-240</v>
      </c>
    </row>
    <row r="103" spans="1:9" x14ac:dyDescent="0.35">
      <c r="B103" s="7">
        <f t="shared" ref="B103:G103" si="10">B92-B$100</f>
        <v>-1</v>
      </c>
      <c r="C103" s="20">
        <f t="shared" si="10"/>
        <v>-15.200000000000003</v>
      </c>
      <c r="D103" s="7">
        <f t="shared" si="10"/>
        <v>-1</v>
      </c>
      <c r="E103" s="7">
        <f t="shared" si="10"/>
        <v>-0.2</v>
      </c>
      <c r="F103" s="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</row>
    <row r="104" spans="1:9" x14ac:dyDescent="0.35">
      <c r="B104" s="7">
        <f t="shared" ref="B104:G104" si="12">B93-B$100</f>
        <v>0</v>
      </c>
      <c r="C104" s="20">
        <f t="shared" si="12"/>
        <v>-0.20000000000000284</v>
      </c>
      <c r="D104" s="7">
        <f t="shared" si="12"/>
        <v>0</v>
      </c>
      <c r="E104" s="7">
        <f t="shared" si="12"/>
        <v>-0.2</v>
      </c>
      <c r="F104" s="7">
        <f t="shared" si="12"/>
        <v>0.19999999999999996</v>
      </c>
      <c r="G104" s="7">
        <f t="shared" si="12"/>
        <v>0</v>
      </c>
      <c r="I104" s="7">
        <f t="shared" ref="I104" si="13">I93-I$100</f>
        <v>-540</v>
      </c>
    </row>
    <row r="105" spans="1:9" x14ac:dyDescent="0.35">
      <c r="B105" s="7">
        <f t="shared" ref="B105:G105" si="14">B94-B$100</f>
        <v>1</v>
      </c>
      <c r="C105" s="20">
        <f t="shared" si="14"/>
        <v>9.7999999999999972</v>
      </c>
      <c r="D105" s="7">
        <f t="shared" si="14"/>
        <v>-1</v>
      </c>
      <c r="E105" s="7">
        <f t="shared" si="14"/>
        <v>-0.2</v>
      </c>
      <c r="F105" s="7">
        <f t="shared" si="14"/>
        <v>0.19999999999999996</v>
      </c>
      <c r="G105" s="7">
        <f t="shared" si="14"/>
        <v>0</v>
      </c>
      <c r="I105" s="7">
        <f t="shared" ref="I105" si="15">I94-I$100</f>
        <v>-440</v>
      </c>
    </row>
    <row r="106" spans="1:9" x14ac:dyDescent="0.35">
      <c r="B106" s="7">
        <f t="shared" ref="B106:G106" si="16">B95-B$100</f>
        <v>-1</v>
      </c>
      <c r="C106" s="20">
        <f t="shared" si="16"/>
        <v>-0.20000000000000284</v>
      </c>
      <c r="D106" s="7">
        <f t="shared" si="16"/>
        <v>1</v>
      </c>
      <c r="E106" s="7">
        <f t="shared" si="16"/>
        <v>0.8</v>
      </c>
      <c r="F106" s="7">
        <f t="shared" si="16"/>
        <v>-0.8</v>
      </c>
      <c r="G106" s="7">
        <f t="shared" si="16"/>
        <v>0</v>
      </c>
      <c r="I106" s="7">
        <f t="shared" ref="I106" si="17">I95-I$100</f>
        <v>2060</v>
      </c>
    </row>
    <row r="107" spans="1:9" x14ac:dyDescent="0.35">
      <c r="A107" t="s">
        <v>80</v>
      </c>
    </row>
    <row r="108" spans="1:9" x14ac:dyDescent="0.35">
      <c r="A108" t="s">
        <v>81</v>
      </c>
    </row>
    <row r="109" spans="1:9" x14ac:dyDescent="0.35">
      <c r="B109">
        <f>(B102^2+B103^2+B104^2+B105^2+B106^2)^(1/2)</f>
        <v>2</v>
      </c>
      <c r="C109">
        <f t="shared" ref="C109:I109" si="18">(C102^2+C103^2+C104^2+C105^2+C106^2)^(1/2)</f>
        <v>18.994736112934028</v>
      </c>
      <c r="D109">
        <f t="shared" si="18"/>
        <v>2</v>
      </c>
      <c r="E109">
        <f t="shared" si="18"/>
        <v>0.89442719099991597</v>
      </c>
      <c r="F109">
        <f t="shared" si="18"/>
        <v>0.89442719099991586</v>
      </c>
      <c r="G109">
        <f t="shared" si="18"/>
        <v>0</v>
      </c>
      <c r="H109">
        <f t="shared" si="18"/>
        <v>0</v>
      </c>
      <c r="I109">
        <f t="shared" si="18"/>
        <v>2343.5016535091245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DEDF-4E36-4037-8F0A-6A5E0D2037C2}">
  <dimension ref="A1:L94"/>
  <sheetViews>
    <sheetView workbookViewId="0">
      <selection activeCell="A73" sqref="A73"/>
    </sheetView>
  </sheetViews>
  <sheetFormatPr defaultRowHeight="14.5" x14ac:dyDescent="0.35"/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50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36</v>
      </c>
    </row>
    <row r="48" spans="1:12" x14ac:dyDescent="0.35">
      <c r="A48" s="6" t="s">
        <v>37</v>
      </c>
    </row>
    <row r="49" spans="1:12" x14ac:dyDescent="0.35">
      <c r="A49" t="s">
        <v>44</v>
      </c>
    </row>
    <row r="50" spans="1:12" x14ac:dyDescent="0.35">
      <c r="B50" s="6" t="s">
        <v>43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C53" si="2">$F51*K$51+$G51*K$52+$H51*K$53</f>
        <v>273</v>
      </c>
      <c r="C51" s="12">
        <f t="shared" si="2"/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3">$F52*J$51+$G52*J$52+$H52*J$53</f>
        <v>273</v>
      </c>
      <c r="B52" s="12">
        <f t="shared" si="2"/>
        <v>5526</v>
      </c>
      <c r="C52" s="12">
        <f t="shared" si="2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3"/>
        <v>14</v>
      </c>
      <c r="B53" s="12">
        <f t="shared" si="2"/>
        <v>273</v>
      </c>
      <c r="C53" s="12">
        <f t="shared" si="2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45</v>
      </c>
    </row>
    <row r="55" spans="1:12" x14ac:dyDescent="0.35">
      <c r="A55" t="s">
        <v>38</v>
      </c>
      <c r="E55" t="s">
        <v>39</v>
      </c>
      <c r="I55" t="s">
        <v>42</v>
      </c>
    </row>
    <row r="56" spans="1:12" x14ac:dyDescent="0.3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3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3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35">
      <c r="B59" s="11" t="s">
        <v>49</v>
      </c>
    </row>
    <row r="60" spans="1:12" x14ac:dyDescent="0.35">
      <c r="A60" t="s">
        <v>51</v>
      </c>
      <c r="B60" s="8"/>
      <c r="F60" s="8"/>
    </row>
    <row r="61" spans="1:12" x14ac:dyDescent="0.35">
      <c r="G61" s="6" t="s">
        <v>43</v>
      </c>
      <c r="J61" s="10" t="s">
        <v>9</v>
      </c>
    </row>
    <row r="62" spans="1:12" x14ac:dyDescent="0.35">
      <c r="A62" s="12">
        <f>F62*J$62+G62*J$63+H62*J$64</f>
        <v>494200</v>
      </c>
      <c r="B62" s="15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4">F63*J$62+G63*J$63+H63*J$64</f>
        <v>9960900</v>
      </c>
      <c r="B63" s="15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4"/>
        <v>494200</v>
      </c>
      <c r="B64" s="15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54</v>
      </c>
    </row>
    <row r="67" spans="1:3" x14ac:dyDescent="0.35">
      <c r="A67" s="6" t="s">
        <v>57</v>
      </c>
      <c r="B67" s="15"/>
    </row>
    <row r="68" spans="1:3" x14ac:dyDescent="0.35">
      <c r="C68" s="16" t="s">
        <v>55</v>
      </c>
    </row>
    <row r="69" spans="1:3" x14ac:dyDescent="0.35">
      <c r="A69" s="12">
        <v>494200</v>
      </c>
      <c r="C69" s="16" t="s">
        <v>56</v>
      </c>
    </row>
    <row r="70" spans="1:3" x14ac:dyDescent="0.35">
      <c r="A70" s="12">
        <v>9960900</v>
      </c>
      <c r="C70" s="17" t="s">
        <v>58</v>
      </c>
    </row>
    <row r="71" spans="1:3" x14ac:dyDescent="0.35">
      <c r="A71" s="12">
        <v>494200</v>
      </c>
      <c r="C71" s="17" t="s">
        <v>59</v>
      </c>
    </row>
    <row r="74" spans="1:3" ht="23" x14ac:dyDescent="0.35">
      <c r="A74" s="18" t="s">
        <v>60</v>
      </c>
    </row>
    <row r="75" spans="1:3" x14ac:dyDescent="0.35">
      <c r="A75" s="6" t="s">
        <v>15</v>
      </c>
    </row>
    <row r="76" spans="1:3" x14ac:dyDescent="0.35">
      <c r="A76" t="s">
        <v>67</v>
      </c>
    </row>
    <row r="77" spans="1:3" x14ac:dyDescent="0.35">
      <c r="A77" t="s">
        <v>61</v>
      </c>
    </row>
    <row r="78" spans="1:3" x14ac:dyDescent="0.35">
      <c r="A78" t="s">
        <v>62</v>
      </c>
    </row>
    <row r="79" spans="1:3" x14ac:dyDescent="0.35">
      <c r="A79" t="s">
        <v>63</v>
      </c>
    </row>
    <row r="80" spans="1:3" x14ac:dyDescent="0.35">
      <c r="A80" t="s">
        <v>64</v>
      </c>
    </row>
    <row r="81" spans="1:8" x14ac:dyDescent="0.35">
      <c r="A81" t="s">
        <v>65</v>
      </c>
    </row>
    <row r="82" spans="1:8" x14ac:dyDescent="0.35">
      <c r="A82" t="s">
        <v>66</v>
      </c>
    </row>
    <row r="84" spans="1:8" x14ac:dyDescent="0.35">
      <c r="A84" s="6" t="s">
        <v>26</v>
      </c>
    </row>
    <row r="85" spans="1:8" x14ac:dyDescent="0.35">
      <c r="A85" s="13" t="s">
        <v>68</v>
      </c>
    </row>
    <row r="86" spans="1:8" x14ac:dyDescent="0.35">
      <c r="A86" t="s">
        <v>1</v>
      </c>
      <c r="B86" t="s">
        <v>2</v>
      </c>
      <c r="C86" t="s">
        <v>3</v>
      </c>
      <c r="D86" t="s">
        <v>4</v>
      </c>
      <c r="E86" t="s">
        <v>5</v>
      </c>
      <c r="F86" t="s">
        <v>6</v>
      </c>
      <c r="H86" t="s">
        <v>7</v>
      </c>
    </row>
    <row r="87" spans="1:8" x14ac:dyDescent="0.35">
      <c r="B87" s="19"/>
      <c r="C87" s="19"/>
      <c r="D87" s="19" t="s">
        <v>70</v>
      </c>
      <c r="E87" s="19"/>
      <c r="F87" s="19"/>
      <c r="H87" s="9" t="s">
        <v>71</v>
      </c>
    </row>
    <row r="88" spans="1:8" x14ac:dyDescent="0.35">
      <c r="A88" s="7">
        <v>3</v>
      </c>
      <c r="B88" s="7">
        <v>51</v>
      </c>
      <c r="C88" s="7">
        <v>3</v>
      </c>
      <c r="D88" s="7">
        <v>0</v>
      </c>
      <c r="E88" s="7">
        <v>1</v>
      </c>
      <c r="F88" s="7">
        <v>0</v>
      </c>
      <c r="H88" s="7">
        <v>2200</v>
      </c>
    </row>
    <row r="89" spans="1:8" x14ac:dyDescent="0.35">
      <c r="A89" s="7">
        <v>1</v>
      </c>
      <c r="B89" s="7">
        <v>30</v>
      </c>
      <c r="C89" s="7">
        <v>1</v>
      </c>
      <c r="D89" s="7">
        <v>0</v>
      </c>
      <c r="E89" s="7">
        <v>1</v>
      </c>
      <c r="F89" s="7">
        <v>0</v>
      </c>
      <c r="H89" s="7">
        <v>1600</v>
      </c>
    </row>
    <row r="90" spans="1:8" x14ac:dyDescent="0.35">
      <c r="A90" s="7">
        <v>2</v>
      </c>
      <c r="B90" s="7">
        <v>45</v>
      </c>
      <c r="C90" s="7">
        <v>2</v>
      </c>
      <c r="D90" s="7">
        <v>0</v>
      </c>
      <c r="E90" s="7">
        <v>1</v>
      </c>
      <c r="F90" s="7">
        <v>0</v>
      </c>
      <c r="H90" s="7">
        <v>1900</v>
      </c>
    </row>
    <row r="91" spans="1:8" x14ac:dyDescent="0.35">
      <c r="A91" s="7">
        <v>3</v>
      </c>
      <c r="B91" s="7">
        <v>55</v>
      </c>
      <c r="C91" s="7">
        <v>1</v>
      </c>
      <c r="D91" s="7">
        <v>0</v>
      </c>
      <c r="E91" s="7">
        <v>1</v>
      </c>
      <c r="F91" s="7">
        <v>0</v>
      </c>
      <c r="H91" s="7">
        <v>2000</v>
      </c>
    </row>
    <row r="92" spans="1:8" x14ac:dyDescent="0.35">
      <c r="A92" s="7">
        <v>1</v>
      </c>
      <c r="B92" s="7">
        <v>45</v>
      </c>
      <c r="C92" s="7">
        <v>3</v>
      </c>
      <c r="D92" s="7">
        <v>1</v>
      </c>
      <c r="E92" s="7">
        <v>0</v>
      </c>
      <c r="F92" s="7">
        <v>0</v>
      </c>
      <c r="H92" s="7">
        <v>4500</v>
      </c>
    </row>
    <row r="94" spans="1:8" x14ac:dyDescent="0.35">
      <c r="A94" s="13" t="s">
        <v>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2025-10-05T12:07:44Z</dcterms:created>
  <dcterms:modified xsi:type="dcterms:W3CDTF">2025-10-05T19:16:29Z</dcterms:modified>
</cp:coreProperties>
</file>