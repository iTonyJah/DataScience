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sogorA\DataScience\Edu\Linear_algebra\"/>
    </mc:Choice>
  </mc:AlternateContent>
  <xr:revisionPtr revIDLastSave="0" documentId="13_ncr:1_{1A0555F8-23B6-481C-B23E-C8D5825E64DE}" xr6:coauthVersionLast="47" xr6:coauthVersionMax="47" xr10:uidLastSave="{00000000-0000-0000-0000-000000000000}"/>
  <bookViews>
    <workbookView xWindow="-120" yWindow="-120" windowWidth="29040" windowHeight="15720" xr2:uid="{6B48EADF-CD2A-4593-B5B4-C8A55DF2A88B}"/>
  </bookViews>
  <sheets>
    <sheet name="cal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1" i="1" l="1"/>
  <c r="X129" i="1"/>
  <c r="X128" i="1"/>
  <c r="W132" i="1"/>
  <c r="W131" i="1"/>
  <c r="S130" i="1"/>
  <c r="R130" i="1"/>
  <c r="Q129" i="1"/>
  <c r="Q127" i="1"/>
  <c r="Q126" i="1"/>
  <c r="Q125" i="1"/>
  <c r="Q124" i="1"/>
  <c r="Q123" i="1"/>
  <c r="P129" i="1"/>
  <c r="O142" i="1"/>
  <c r="N142" i="1"/>
  <c r="N140" i="1"/>
  <c r="J141" i="1" l="1"/>
  <c r="K139" i="1"/>
  <c r="H139" i="1"/>
  <c r="P132" i="1"/>
  <c r="N132" i="1"/>
  <c r="M132" i="1"/>
  <c r="L132" i="1"/>
  <c r="I136" i="1"/>
  <c r="M135" i="1"/>
  <c r="L135" i="1"/>
  <c r="K135" i="1"/>
  <c r="J135" i="1"/>
  <c r="H135" i="1"/>
  <c r="F132" i="1"/>
  <c r="H132" i="1"/>
  <c r="I133" i="1"/>
  <c r="J132" i="1"/>
  <c r="J133" i="1" s="1"/>
  <c r="J130" i="1"/>
  <c r="J129" i="1"/>
  <c r="J127" i="1"/>
  <c r="J126" i="1"/>
  <c r="J125" i="1"/>
  <c r="J124" i="1"/>
  <c r="J123" i="1"/>
  <c r="P127" i="1"/>
  <c r="P126" i="1"/>
  <c r="P125" i="1"/>
  <c r="P124" i="1"/>
  <c r="P123" i="1"/>
  <c r="M127" i="1"/>
  <c r="M126" i="1"/>
  <c r="M125" i="1"/>
  <c r="M124" i="1"/>
  <c r="M123" i="1"/>
  <c r="K126" i="1"/>
  <c r="K124" i="1"/>
  <c r="K123" i="1"/>
  <c r="K107" i="1"/>
  <c r="J107" i="1"/>
  <c r="I127" i="1"/>
  <c r="I126" i="1"/>
  <c r="I125" i="1"/>
  <c r="I124" i="1"/>
  <c r="I123" i="1"/>
  <c r="H127" i="1"/>
  <c r="H126" i="1"/>
  <c r="H125" i="1"/>
  <c r="H124" i="1"/>
  <c r="H123" i="1"/>
  <c r="G127" i="1"/>
  <c r="G126" i="1"/>
  <c r="G125" i="1"/>
  <c r="G124" i="1"/>
  <c r="G123" i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AA118" i="1" l="1"/>
  <c r="AB118" i="1" s="1"/>
  <c r="AA117" i="1"/>
  <c r="AB117" i="1" s="1"/>
  <c r="AA115" i="1"/>
  <c r="R113" i="1"/>
  <c r="O113" i="1"/>
  <c r="R105" i="1"/>
  <c r="R109" i="1"/>
  <c r="N109" i="1"/>
  <c r="N108" i="1"/>
  <c r="N107" i="1"/>
  <c r="N106" i="1"/>
  <c r="N105" i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S115" i="1" l="1"/>
  <c r="W115" i="1" s="1"/>
  <c r="X115" i="1" s="1"/>
  <c r="T114" i="1"/>
  <c r="AB115" i="1"/>
  <c r="AC115" i="1" s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K104" i="1" l="1"/>
  <c r="J104" i="1"/>
  <c r="B109" i="1"/>
  <c r="B113" i="1" s="1"/>
  <c r="B111" i="1"/>
  <c r="B112" i="1"/>
  <c r="E114" i="1"/>
  <c r="E115" i="1"/>
  <c r="K105" i="1"/>
  <c r="J105" i="1"/>
  <c r="J103" i="1"/>
  <c r="K103" i="1"/>
  <c r="J102" i="1"/>
  <c r="K102" i="1"/>
  <c r="I109" i="1"/>
  <c r="I115" i="1" s="1"/>
  <c r="D114" i="1"/>
  <c r="F115" i="1"/>
  <c r="F114" i="1"/>
  <c r="F113" i="1"/>
  <c r="D109" i="1"/>
  <c r="D115" i="1" s="1"/>
  <c r="D111" i="1"/>
  <c r="G109" i="1"/>
  <c r="D112" i="1"/>
  <c r="D113" i="1"/>
  <c r="F109" i="1"/>
  <c r="F111" i="1" s="1"/>
  <c r="E109" i="1"/>
  <c r="E113" i="1" s="1"/>
  <c r="C109" i="1"/>
  <c r="C112" i="1" s="1"/>
  <c r="C114" i="1" l="1"/>
  <c r="I111" i="1"/>
  <c r="B115" i="1"/>
  <c r="E112" i="1"/>
  <c r="B114" i="1"/>
  <c r="I113" i="1"/>
  <c r="E111" i="1"/>
  <c r="C111" i="1"/>
  <c r="F112" i="1"/>
  <c r="I112" i="1"/>
  <c r="C115" i="1"/>
  <c r="C113" i="1"/>
  <c r="I114" i="1"/>
</calcChain>
</file>

<file path=xl/sharedStrings.xml><?xml version="1.0" encoding="utf-8"?>
<sst xmlns="http://schemas.openxmlformats.org/spreadsheetml/2006/main" count="113" uniqueCount="91">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</sst>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A1:AD142"/>
  <sheetViews>
    <sheetView tabSelected="1" topLeftCell="A113" workbookViewId="0">
      <selection activeCell="X131" sqref="X131"/>
    </sheetView>
  </sheetViews>
  <sheetFormatPr defaultRowHeight="15" x14ac:dyDescent="0.25"/>
  <cols>
    <col min="25" max="25" width="12.7109375" customWidth="1"/>
  </cols>
  <sheetData>
    <row r="1" spans="1:7" ht="15.75" thickBot="1" x14ac:dyDescent="0.3">
      <c r="A1" s="5" t="s">
        <v>0</v>
      </c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.75" thickBot="1" x14ac:dyDescent="0.3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.75" thickBot="1" x14ac:dyDescent="0.3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.75" thickBot="1" x14ac:dyDescent="0.3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.75" thickBot="1" x14ac:dyDescent="0.3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.75" thickBot="1" x14ac:dyDescent="0.3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.25" x14ac:dyDescent="0.35">
      <c r="A9" s="4" t="s">
        <v>10</v>
      </c>
    </row>
    <row r="11" spans="1:7" x14ac:dyDescent="0.25">
      <c r="A11" t="s">
        <v>11</v>
      </c>
    </row>
    <row r="12" spans="1:7" x14ac:dyDescent="0.25">
      <c r="A12" t="s">
        <v>12</v>
      </c>
    </row>
    <row r="14" spans="1:7" x14ac:dyDescent="0.25">
      <c r="C14" t="s">
        <v>13</v>
      </c>
    </row>
    <row r="15" spans="1:7" x14ac:dyDescent="0.25">
      <c r="C15" t="s">
        <v>14</v>
      </c>
    </row>
    <row r="17" spans="1:7" ht="15.75" thickBot="1" x14ac:dyDescent="0.3">
      <c r="A17" t="s">
        <v>8</v>
      </c>
      <c r="E17" t="s">
        <v>9</v>
      </c>
    </row>
    <row r="18" spans="1:7" ht="15.75" thickBot="1" x14ac:dyDescent="0.3">
      <c r="A18" s="2">
        <v>3</v>
      </c>
      <c r="B18" s="2">
        <v>51</v>
      </c>
      <c r="C18" s="2">
        <v>3</v>
      </c>
      <c r="E18" s="2">
        <v>2200</v>
      </c>
    </row>
    <row r="19" spans="1:7" ht="15.75" thickBot="1" x14ac:dyDescent="0.3">
      <c r="A19" s="3">
        <v>1</v>
      </c>
      <c r="B19" s="3">
        <v>30</v>
      </c>
      <c r="C19" s="3">
        <v>1</v>
      </c>
      <c r="E19" s="3">
        <v>1600</v>
      </c>
    </row>
    <row r="20" spans="1:7" ht="15.75" thickBot="1" x14ac:dyDescent="0.3">
      <c r="A20" s="3">
        <v>2</v>
      </c>
      <c r="B20" s="3">
        <v>45</v>
      </c>
      <c r="C20" s="3">
        <v>2</v>
      </c>
      <c r="E20" s="3">
        <v>1900</v>
      </c>
    </row>
    <row r="22" spans="1:7" x14ac:dyDescent="0.25">
      <c r="A22" s="6" t="s">
        <v>15</v>
      </c>
    </row>
    <row r="24" spans="1:7" x14ac:dyDescent="0.25">
      <c r="A24" t="s">
        <v>16</v>
      </c>
    </row>
    <row r="25" spans="1:7" x14ac:dyDescent="0.25">
      <c r="A25" t="s">
        <v>23</v>
      </c>
    </row>
    <row r="26" spans="1:7" x14ac:dyDescent="0.25">
      <c r="A26" t="s">
        <v>19</v>
      </c>
      <c r="G26" t="s">
        <v>20</v>
      </c>
    </row>
    <row r="27" spans="1:7" x14ac:dyDescent="0.25">
      <c r="A27" t="s">
        <v>18</v>
      </c>
    </row>
    <row r="28" spans="1:7" x14ac:dyDescent="0.25">
      <c r="A28" t="s">
        <v>21</v>
      </c>
      <c r="G28" t="s">
        <v>20</v>
      </c>
    </row>
    <row r="29" spans="1:7" x14ac:dyDescent="0.25">
      <c r="A29" t="s">
        <v>22</v>
      </c>
    </row>
    <row r="30" spans="1:7" x14ac:dyDescent="0.25">
      <c r="A30" t="s">
        <v>24</v>
      </c>
    </row>
    <row r="31" spans="1:7" x14ac:dyDescent="0.25">
      <c r="A31" t="s">
        <v>25</v>
      </c>
    </row>
    <row r="33" spans="1:12" ht="15.75" x14ac:dyDescent="0.25">
      <c r="A33" s="14" t="s">
        <v>26</v>
      </c>
    </row>
    <row r="34" spans="1:12" x14ac:dyDescent="0.25">
      <c r="A34" s="6" t="s">
        <v>17</v>
      </c>
    </row>
    <row r="35" spans="1:12" x14ac:dyDescent="0.25">
      <c r="A35" t="s">
        <v>27</v>
      </c>
    </row>
    <row r="36" spans="1:12" x14ac:dyDescent="0.25">
      <c r="A36" t="s">
        <v>29</v>
      </c>
    </row>
    <row r="37" spans="1:12" x14ac:dyDescent="0.25">
      <c r="A37" s="10" t="s">
        <v>28</v>
      </c>
      <c r="G37" s="6" t="s">
        <v>8</v>
      </c>
      <c r="J37" s="10" t="s">
        <v>9</v>
      </c>
    </row>
    <row r="38" spans="1:12" x14ac:dyDescent="0.2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2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2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25">
      <c r="B41" s="11" t="s">
        <v>50</v>
      </c>
    </row>
    <row r="42" spans="1:12" x14ac:dyDescent="0.25">
      <c r="A42" t="s">
        <v>33</v>
      </c>
    </row>
    <row r="43" spans="1:12" x14ac:dyDescent="0.25">
      <c r="A43" s="10"/>
      <c r="J43" s="10" t="s">
        <v>28</v>
      </c>
    </row>
    <row r="44" spans="1:12" x14ac:dyDescent="0.2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2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2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25">
      <c r="B47" s="11" t="s">
        <v>36</v>
      </c>
    </row>
    <row r="48" spans="1:12" x14ac:dyDescent="0.25">
      <c r="A48" s="6" t="s">
        <v>37</v>
      </c>
    </row>
    <row r="49" spans="1:12" x14ac:dyDescent="0.25">
      <c r="A49" t="s">
        <v>44</v>
      </c>
    </row>
    <row r="50" spans="1:12" x14ac:dyDescent="0.25">
      <c r="B50" s="6" t="s">
        <v>43</v>
      </c>
      <c r="K50" s="6" t="s">
        <v>8</v>
      </c>
    </row>
    <row r="51" spans="1:12" x14ac:dyDescent="0.2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2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2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25">
      <c r="A54" t="s">
        <v>45</v>
      </c>
    </row>
    <row r="55" spans="1:12" x14ac:dyDescent="0.25">
      <c r="A55" t="s">
        <v>38</v>
      </c>
      <c r="E55" t="s">
        <v>39</v>
      </c>
      <c r="I55" t="s">
        <v>42</v>
      </c>
    </row>
    <row r="56" spans="1:12" x14ac:dyDescent="0.2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2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2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25">
      <c r="B59" s="11" t="s">
        <v>49</v>
      </c>
    </row>
    <row r="60" spans="1:12" x14ac:dyDescent="0.25">
      <c r="A60" t="s">
        <v>51</v>
      </c>
      <c r="B60" s="8"/>
      <c r="F60" s="8"/>
    </row>
    <row r="61" spans="1:12" x14ac:dyDescent="0.25">
      <c r="G61" s="6" t="s">
        <v>43</v>
      </c>
      <c r="J61" s="10" t="s">
        <v>9</v>
      </c>
    </row>
    <row r="62" spans="1:12" x14ac:dyDescent="0.2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2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2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25">
      <c r="B65" s="11" t="s">
        <v>54</v>
      </c>
    </row>
    <row r="67" spans="1:3" x14ac:dyDescent="0.25">
      <c r="A67" s="6" t="s">
        <v>57</v>
      </c>
      <c r="B67" s="8"/>
    </row>
    <row r="68" spans="1:3" x14ac:dyDescent="0.25">
      <c r="C68" s="8" t="s">
        <v>55</v>
      </c>
    </row>
    <row r="69" spans="1:3" x14ac:dyDescent="0.25">
      <c r="A69" s="12">
        <v>494200</v>
      </c>
      <c r="C69" s="8" t="s">
        <v>56</v>
      </c>
    </row>
    <row r="70" spans="1:3" x14ac:dyDescent="0.25">
      <c r="A70" s="12">
        <v>9960900</v>
      </c>
      <c r="C70" t="s">
        <v>58</v>
      </c>
    </row>
    <row r="71" spans="1:3" x14ac:dyDescent="0.25">
      <c r="A71" s="12">
        <v>494200</v>
      </c>
      <c r="C71" t="s">
        <v>59</v>
      </c>
    </row>
    <row r="74" spans="1:3" ht="23.25" x14ac:dyDescent="0.25">
      <c r="A74" s="15" t="s">
        <v>60</v>
      </c>
    </row>
    <row r="75" spans="1:3" x14ac:dyDescent="0.25">
      <c r="A75" t="s">
        <v>71</v>
      </c>
    </row>
    <row r="76" spans="1:3" x14ac:dyDescent="0.25">
      <c r="A76" t="s">
        <v>72</v>
      </c>
    </row>
    <row r="77" spans="1:3" x14ac:dyDescent="0.25">
      <c r="A77" t="s">
        <v>73</v>
      </c>
    </row>
    <row r="78" spans="1:3" x14ac:dyDescent="0.25">
      <c r="A78" s="6" t="s">
        <v>15</v>
      </c>
    </row>
    <row r="79" spans="1:3" x14ac:dyDescent="0.25">
      <c r="A79" t="s">
        <v>67</v>
      </c>
    </row>
    <row r="80" spans="1:3" x14ac:dyDescent="0.25">
      <c r="A80" t="s">
        <v>61</v>
      </c>
    </row>
    <row r="81" spans="1:9" x14ac:dyDescent="0.25">
      <c r="A81" t="s">
        <v>62</v>
      </c>
    </row>
    <row r="82" spans="1:9" x14ac:dyDescent="0.25">
      <c r="A82" t="s">
        <v>63</v>
      </c>
    </row>
    <row r="83" spans="1:9" x14ac:dyDescent="0.25">
      <c r="A83" t="s">
        <v>64</v>
      </c>
    </row>
    <row r="84" spans="1:9" x14ac:dyDescent="0.25">
      <c r="A84" t="s">
        <v>65</v>
      </c>
    </row>
    <row r="85" spans="1:9" x14ac:dyDescent="0.25">
      <c r="A85" t="s">
        <v>66</v>
      </c>
    </row>
    <row r="87" spans="1:9" x14ac:dyDescent="0.25">
      <c r="A87" s="6" t="s">
        <v>26</v>
      </c>
    </row>
    <row r="88" spans="1:9" x14ac:dyDescent="0.25">
      <c r="A88" s="13" t="s">
        <v>68</v>
      </c>
    </row>
    <row r="89" spans="1:9" x14ac:dyDescent="0.2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2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2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2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2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2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2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25">
      <c r="A97" s="13" t="s">
        <v>74</v>
      </c>
    </row>
    <row r="98" spans="1:30" x14ac:dyDescent="0.25">
      <c r="A98" t="s">
        <v>75</v>
      </c>
    </row>
    <row r="99" spans="1:30" x14ac:dyDescent="0.2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2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2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2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2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2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2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2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2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2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2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2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2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2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2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2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2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25">
      <c r="Z117" t="s">
        <v>84</v>
      </c>
      <c r="AA117">
        <f>90-14</f>
        <v>76</v>
      </c>
      <c r="AB117">
        <f>SQRT(AA117)</f>
        <v>8.717797887081348</v>
      </c>
    </row>
    <row r="118" spans="2:29" x14ac:dyDescent="0.2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25">
      <c r="H120">
        <v>2</v>
      </c>
    </row>
    <row r="121" spans="2:29" x14ac:dyDescent="0.25">
      <c r="H121">
        <v>5</v>
      </c>
      <c r="R121">
        <f>Q118/5</f>
        <v>45</v>
      </c>
    </row>
    <row r="122" spans="2:29" x14ac:dyDescent="0.25">
      <c r="H122">
        <v>10</v>
      </c>
      <c r="I122">
        <v>2</v>
      </c>
      <c r="K122">
        <v>2</v>
      </c>
    </row>
    <row r="123" spans="2:29" x14ac:dyDescent="0.2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86</v>
      </c>
      <c r="P123">
        <f>G123/10/2</f>
        <v>12</v>
      </c>
      <c r="Q123">
        <f>P123^2</f>
        <v>144</v>
      </c>
    </row>
    <row r="124" spans="2:29" x14ac:dyDescent="0.2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87</v>
      </c>
      <c r="P124">
        <f>G124/10/2</f>
        <v>42</v>
      </c>
      <c r="Q124">
        <f t="shared" ref="Q124:Q127" si="28">P124^2</f>
        <v>1764</v>
      </c>
    </row>
    <row r="125" spans="2:29" x14ac:dyDescent="0.2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88</v>
      </c>
      <c r="P125">
        <f>G125/10/2</f>
        <v>27</v>
      </c>
      <c r="Q125">
        <f t="shared" si="28"/>
        <v>729</v>
      </c>
    </row>
    <row r="126" spans="2:29" x14ac:dyDescent="0.2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89</v>
      </c>
      <c r="P126">
        <f>G126/10/2</f>
        <v>22</v>
      </c>
      <c r="Q126">
        <f t="shared" si="28"/>
        <v>484</v>
      </c>
    </row>
    <row r="127" spans="2:29" x14ac:dyDescent="0.2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90</v>
      </c>
      <c r="P127">
        <f>G127/10/2</f>
        <v>103</v>
      </c>
      <c r="Q127">
        <f t="shared" si="28"/>
        <v>10609</v>
      </c>
    </row>
    <row r="128" spans="2:29" x14ac:dyDescent="0.25">
      <c r="W128">
        <v>2</v>
      </c>
      <c r="X128">
        <f>SQRT(W128)</f>
        <v>1.4142135623730951</v>
      </c>
    </row>
    <row r="129" spans="5:24" x14ac:dyDescent="0.25">
      <c r="J129">
        <f>SUM(J123:J128)</f>
        <v>13730</v>
      </c>
      <c r="P129">
        <f>SUM(P123:P128)</f>
        <v>206</v>
      </c>
      <c r="Q129">
        <f>SUM(Q123:Q128)</f>
        <v>13730</v>
      </c>
      <c r="W129">
        <v>3</v>
      </c>
      <c r="X129">
        <f>SQRT(W129)</f>
        <v>1.7320508075688772</v>
      </c>
    </row>
    <row r="130" spans="5:24" x14ac:dyDescent="0.25">
      <c r="J130">
        <f>SQRT(J129)</f>
        <v>117.17508267545622</v>
      </c>
      <c r="R130">
        <f>2*5*1373</f>
        <v>13730</v>
      </c>
      <c r="S130">
        <f>SQRT(R130)</f>
        <v>117.17508267545622</v>
      </c>
    </row>
    <row r="131" spans="5:24" x14ac:dyDescent="0.25">
      <c r="W131">
        <f>W128/W129</f>
        <v>0.66666666666666663</v>
      </c>
      <c r="X131">
        <f>X128/X129</f>
        <v>0.81649658092772615</v>
      </c>
    </row>
    <row r="132" spans="5:24" x14ac:dyDescent="0.2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  <c r="W132">
        <f>SQRT(W131)</f>
        <v>0.81649658092772603</v>
      </c>
    </row>
    <row r="133" spans="5:24" x14ac:dyDescent="0.25">
      <c r="I133">
        <f>I132*20</f>
        <v>2340</v>
      </c>
      <c r="J133">
        <f>J132-J129</f>
        <v>-41</v>
      </c>
    </row>
    <row r="135" spans="5:24" x14ac:dyDescent="0.2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5:24" x14ac:dyDescent="0.25">
      <c r="I136">
        <f>I135*20</f>
        <v>2360</v>
      </c>
    </row>
    <row r="139" spans="5:24" x14ac:dyDescent="0.25">
      <c r="E139">
        <v>19</v>
      </c>
      <c r="F139">
        <v>1804</v>
      </c>
      <c r="H139">
        <f>SQRT(F139/F140)*E139</f>
        <v>18.994736112934024</v>
      </c>
      <c r="J139">
        <v>9020</v>
      </c>
      <c r="K139">
        <f>SQRT(J139)</f>
        <v>94.973680564670133</v>
      </c>
    </row>
    <row r="140" spans="5:24" x14ac:dyDescent="0.25">
      <c r="F140">
        <v>1805</v>
      </c>
      <c r="J140">
        <v>25</v>
      </c>
      <c r="N140">
        <f>2 * 5 * 7 * 7 * 7 * 7</f>
        <v>24010</v>
      </c>
    </row>
    <row r="141" spans="5:24" x14ac:dyDescent="0.25">
      <c r="J141">
        <f>J139/J140</f>
        <v>360.8</v>
      </c>
    </row>
    <row r="142" spans="5:24" x14ac:dyDescent="0.25">
      <c r="M142">
        <v>7</v>
      </c>
      <c r="N142">
        <f>M142^2</f>
        <v>49</v>
      </c>
      <c r="O142">
        <f>N142^2</f>
        <v>2401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2025-10-08T14:56:20Z</dcterms:modified>
</cp:coreProperties>
</file>