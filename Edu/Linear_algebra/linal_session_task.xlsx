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96AB5CCB-4C65-49AE-A464-EA453D8D8F18}" xr6:coauthVersionLast="47" xr6:coauthVersionMax="47" xr10:uidLastSave="{00000000-0000-0000-0000-000000000000}"/>
  <bookViews>
    <workbookView xWindow="-110" yWindow="-110" windowWidth="19420" windowHeight="11500" xr2:uid="{6B48EADF-CD2A-4593-B5B4-C8A55DF2A88B}"/>
  </bookViews>
  <sheets>
    <sheet name="calc" sheetId="1" r:id="rId1"/>
    <sheet name="split1" sheetId="4" r:id="rId2"/>
    <sheet name="Sheet1" sheetId="2" r:id="rId3"/>
    <sheet name="st" sheetId="3" r:id="rId4"/>
    <sheet name="Shee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5" l="1"/>
  <c r="Z7" i="5"/>
  <c r="Z6" i="5"/>
  <c r="Z5" i="5"/>
  <c r="Z4" i="5"/>
  <c r="Y9" i="5"/>
  <c r="Y7" i="5"/>
  <c r="Y6" i="5"/>
  <c r="Y5" i="5"/>
  <c r="Y4" i="5"/>
  <c r="X12" i="5"/>
  <c r="X10" i="5"/>
  <c r="X9" i="5"/>
  <c r="X7" i="5"/>
  <c r="X6" i="5"/>
  <c r="X5" i="5"/>
  <c r="X4" i="5"/>
  <c r="V9" i="5"/>
  <c r="W7" i="5"/>
  <c r="W6" i="5"/>
  <c r="W5" i="5"/>
  <c r="W4" i="5"/>
  <c r="V7" i="5"/>
  <c r="V6" i="5"/>
  <c r="V5" i="5"/>
  <c r="V4" i="5"/>
  <c r="U7" i="5"/>
  <c r="U6" i="5"/>
  <c r="U5" i="5"/>
  <c r="U4" i="5"/>
  <c r="S16" i="5"/>
  <c r="S15" i="5"/>
  <c r="S14" i="5"/>
  <c r="S13" i="5"/>
  <c r="S7" i="5"/>
  <c r="S6" i="5"/>
  <c r="S5" i="5"/>
  <c r="S4" i="5"/>
  <c r="P16" i="5"/>
  <c r="Q16" i="5" s="1"/>
  <c r="R16" i="5" s="1"/>
  <c r="P15" i="5"/>
  <c r="Q15" i="5" s="1"/>
  <c r="R15" i="5" s="1"/>
  <c r="P14" i="5"/>
  <c r="Q14" i="5" s="1"/>
  <c r="R14" i="5" s="1"/>
  <c r="P13" i="5"/>
  <c r="Q13" i="5" s="1"/>
  <c r="P7" i="5"/>
  <c r="P6" i="5"/>
  <c r="Q6" i="5" s="1"/>
  <c r="R6" i="5" s="1"/>
  <c r="P5" i="5"/>
  <c r="Q5" i="5" s="1"/>
  <c r="R5" i="5" s="1"/>
  <c r="P4" i="5"/>
  <c r="Q4" i="5" s="1"/>
  <c r="Q7" i="5"/>
  <c r="R7" i="5" s="1"/>
  <c r="L21" i="5"/>
  <c r="K21" i="5"/>
  <c r="K20" i="5"/>
  <c r="I21" i="5"/>
  <c r="H21" i="5"/>
  <c r="G21" i="5"/>
  <c r="I20" i="5"/>
  <c r="H20" i="5"/>
  <c r="G20" i="5"/>
  <c r="K18" i="5"/>
  <c r="K17" i="5"/>
  <c r="K16" i="5"/>
  <c r="J18" i="5"/>
  <c r="J17" i="5"/>
  <c r="J16" i="5"/>
  <c r="J28" i="4"/>
  <c r="I28" i="4"/>
  <c r="H28" i="4"/>
  <c r="K28" i="4"/>
  <c r="K26" i="4"/>
  <c r="J26" i="4"/>
  <c r="I26" i="4"/>
  <c r="H26" i="4"/>
  <c r="K25" i="4"/>
  <c r="J25" i="4"/>
  <c r="I25" i="4"/>
  <c r="H25" i="4"/>
  <c r="K24" i="4"/>
  <c r="J24" i="4"/>
  <c r="I24" i="4"/>
  <c r="H24" i="4"/>
  <c r="K23" i="4"/>
  <c r="J23" i="4"/>
  <c r="I23" i="4"/>
  <c r="H23" i="4"/>
  <c r="F28" i="4"/>
  <c r="E28" i="4"/>
  <c r="D28" i="4"/>
  <c r="C28" i="4"/>
  <c r="K15" i="4"/>
  <c r="J15" i="4"/>
  <c r="I15" i="4"/>
  <c r="H15" i="4"/>
  <c r="F26" i="4"/>
  <c r="E26" i="4"/>
  <c r="D26" i="4"/>
  <c r="F25" i="4"/>
  <c r="E25" i="4"/>
  <c r="D25" i="4"/>
  <c r="F24" i="4"/>
  <c r="E24" i="4"/>
  <c r="D24" i="4"/>
  <c r="F23" i="4"/>
  <c r="E23" i="4"/>
  <c r="D23" i="4"/>
  <c r="C26" i="4"/>
  <c r="C25" i="4"/>
  <c r="C24" i="4"/>
  <c r="C23" i="4"/>
  <c r="F21" i="4"/>
  <c r="E21" i="4"/>
  <c r="D21" i="4"/>
  <c r="C21" i="4"/>
  <c r="F20" i="4"/>
  <c r="E20" i="4"/>
  <c r="D20" i="4"/>
  <c r="C20" i="4"/>
  <c r="F18" i="4"/>
  <c r="E18" i="4"/>
  <c r="D18" i="4"/>
  <c r="C18" i="4"/>
  <c r="F17" i="4"/>
  <c r="E17" i="4"/>
  <c r="D17" i="4"/>
  <c r="C17" i="4"/>
  <c r="F16" i="4"/>
  <c r="E16" i="4"/>
  <c r="D16" i="4"/>
  <c r="C16" i="4"/>
  <c r="F15" i="4"/>
  <c r="E15" i="4"/>
  <c r="D15" i="4"/>
  <c r="C15" i="4"/>
  <c r="K8" i="4"/>
  <c r="K10" i="4" s="1"/>
  <c r="J8" i="4"/>
  <c r="J10" i="4" s="1"/>
  <c r="I8" i="4"/>
  <c r="I10" i="4" s="1"/>
  <c r="H8" i="4"/>
  <c r="H10" i="4" s="1"/>
  <c r="F8" i="4"/>
  <c r="F13" i="4" s="1"/>
  <c r="E8" i="4"/>
  <c r="E13" i="4" s="1"/>
  <c r="D8" i="4"/>
  <c r="D13" i="4" s="1"/>
  <c r="C8" i="4"/>
  <c r="C13" i="4" s="1"/>
  <c r="J81" i="3"/>
  <c r="K81" i="3"/>
  <c r="L81" i="3"/>
  <c r="M81" i="3"/>
  <c r="N81" i="3"/>
  <c r="O81" i="3"/>
  <c r="O80" i="3"/>
  <c r="N80" i="3"/>
  <c r="M80" i="3"/>
  <c r="L80" i="3"/>
  <c r="K80" i="3"/>
  <c r="J80" i="3"/>
  <c r="Q80" i="3" s="1"/>
  <c r="O79" i="3"/>
  <c r="N79" i="3"/>
  <c r="M79" i="3"/>
  <c r="L79" i="3"/>
  <c r="K79" i="3"/>
  <c r="J79" i="3"/>
  <c r="Q79" i="3" s="1"/>
  <c r="O78" i="3"/>
  <c r="N78" i="3"/>
  <c r="M78" i="3"/>
  <c r="L78" i="3"/>
  <c r="K78" i="3"/>
  <c r="J78" i="3"/>
  <c r="O77" i="3"/>
  <c r="N77" i="3"/>
  <c r="M77" i="3"/>
  <c r="L77" i="3"/>
  <c r="K77" i="3"/>
  <c r="J77" i="3"/>
  <c r="Q73" i="3"/>
  <c r="Q72" i="3"/>
  <c r="Q71" i="3"/>
  <c r="Q70" i="3"/>
  <c r="Q69" i="3"/>
  <c r="O73" i="3"/>
  <c r="N73" i="3"/>
  <c r="M73" i="3"/>
  <c r="L73" i="3"/>
  <c r="K73" i="3"/>
  <c r="J73" i="3"/>
  <c r="O72" i="3"/>
  <c r="N72" i="3"/>
  <c r="M72" i="3"/>
  <c r="L72" i="3"/>
  <c r="K72" i="3"/>
  <c r="J72" i="3"/>
  <c r="O71" i="3"/>
  <c r="N71" i="3"/>
  <c r="M71" i="3"/>
  <c r="L71" i="3"/>
  <c r="K71" i="3"/>
  <c r="J71" i="3"/>
  <c r="O70" i="3"/>
  <c r="N70" i="3"/>
  <c r="M70" i="3"/>
  <c r="L70" i="3"/>
  <c r="L75" i="3" s="1"/>
  <c r="K70" i="3"/>
  <c r="J70" i="3"/>
  <c r="O69" i="3"/>
  <c r="O75" i="3" s="1"/>
  <c r="N69" i="3"/>
  <c r="N75" i="3" s="1"/>
  <c r="M69" i="3"/>
  <c r="M75" i="3" s="1"/>
  <c r="L69" i="3"/>
  <c r="K69" i="3"/>
  <c r="K75" i="3" s="1"/>
  <c r="J69" i="3"/>
  <c r="J75" i="3" s="1"/>
  <c r="J53" i="3"/>
  <c r="J54" i="3"/>
  <c r="J55" i="3"/>
  <c r="J56" i="3"/>
  <c r="J52" i="3"/>
  <c r="I60" i="3"/>
  <c r="I64" i="3"/>
  <c r="I59" i="3"/>
  <c r="R38" i="3"/>
  <c r="R37" i="3"/>
  <c r="R36" i="3"/>
  <c r="R35" i="3"/>
  <c r="R34" i="3"/>
  <c r="R33" i="3"/>
  <c r="Q40" i="3"/>
  <c r="M40" i="3"/>
  <c r="L39" i="3"/>
  <c r="K38" i="3"/>
  <c r="J37" i="3"/>
  <c r="I36" i="3"/>
  <c r="I48" i="3"/>
  <c r="I43" i="3"/>
  <c r="K12" i="3"/>
  <c r="K13" i="3" s="1"/>
  <c r="R9" i="3"/>
  <c r="O9" i="3"/>
  <c r="L9" i="3"/>
  <c r="I9" i="3"/>
  <c r="F9" i="3"/>
  <c r="B9" i="3"/>
  <c r="F157" i="1"/>
  <c r="H158" i="1" s="1"/>
  <c r="R13" i="5" l="1"/>
  <c r="Q18" i="5"/>
  <c r="Q19" i="5" s="1"/>
  <c r="R4" i="5"/>
  <c r="C10" i="4"/>
  <c r="C11" i="4"/>
  <c r="C12" i="4"/>
  <c r="D10" i="4"/>
  <c r="D11" i="4"/>
  <c r="D12" i="4"/>
  <c r="E10" i="4"/>
  <c r="E11" i="4"/>
  <c r="E12" i="4"/>
  <c r="F10" i="4"/>
  <c r="F11" i="4"/>
  <c r="F12" i="4"/>
  <c r="Q77" i="3"/>
  <c r="Q78" i="3"/>
  <c r="Q81" i="3"/>
  <c r="M83" i="3"/>
  <c r="K83" i="3"/>
  <c r="O83" i="3"/>
  <c r="N83" i="3"/>
  <c r="L83" i="3"/>
  <c r="J83" i="3"/>
  <c r="R40" i="3"/>
  <c r="R41" i="3" s="1"/>
  <c r="S38" i="3" s="1"/>
  <c r="T38" i="3" s="1"/>
  <c r="S37" i="3"/>
  <c r="T37" i="3" s="1"/>
  <c r="S35" i="3"/>
  <c r="T35" i="3" s="1"/>
  <c r="S34" i="3"/>
  <c r="T34" i="3" s="1"/>
  <c r="D155" i="1"/>
  <c r="D156" i="1" s="1"/>
  <c r="F151" i="1"/>
  <c r="E152" i="1"/>
  <c r="R26" i="3"/>
  <c r="S24" i="3"/>
  <c r="T24" i="3" s="1"/>
  <c r="K4" i="3"/>
  <c r="K5" i="3" s="1"/>
  <c r="K6" i="3" s="1"/>
  <c r="K7" i="3" s="1"/>
  <c r="M12" i="3"/>
  <c r="F20" i="3" s="1"/>
  <c r="F28" i="3" s="1"/>
  <c r="Q11" i="3"/>
  <c r="Q12" i="3" s="1"/>
  <c r="Q13" i="3" s="1"/>
  <c r="S13" i="3" s="1"/>
  <c r="H21" i="3" s="1"/>
  <c r="H29" i="3" s="1"/>
  <c r="N12" i="3"/>
  <c r="N13" i="3" s="1"/>
  <c r="P14" i="3" s="1"/>
  <c r="G22" i="3" s="1"/>
  <c r="G30" i="3" s="1"/>
  <c r="M15" i="3"/>
  <c r="F23" i="3" s="1"/>
  <c r="F31" i="3" s="1"/>
  <c r="H13" i="3"/>
  <c r="J12" i="3" s="1"/>
  <c r="E20" i="3" s="1"/>
  <c r="E28" i="3" s="1"/>
  <c r="E10" i="3"/>
  <c r="E12" i="3" s="1"/>
  <c r="E13" i="3" s="1"/>
  <c r="G13" i="3" s="1"/>
  <c r="D21" i="3" s="1"/>
  <c r="D29" i="3" s="1"/>
  <c r="A13" i="3"/>
  <c r="C14" i="3" s="1"/>
  <c r="C22" i="3" s="1"/>
  <c r="C30" i="3" s="1"/>
  <c r="F72" i="2"/>
  <c r="H72" i="2" s="1"/>
  <c r="J69" i="2"/>
  <c r="G68" i="2"/>
  <c r="H69" i="2" s="1"/>
  <c r="I69" i="2" s="1"/>
  <c r="F61" i="2"/>
  <c r="F57" i="2"/>
  <c r="F55" i="2"/>
  <c r="I53" i="2"/>
  <c r="I45" i="2"/>
  <c r="I37" i="2"/>
  <c r="G37" i="2"/>
  <c r="J37" i="2" s="1"/>
  <c r="G36" i="2"/>
  <c r="G39" i="2" s="1"/>
  <c r="F50" i="2"/>
  <c r="F48" i="2"/>
  <c r="F51" i="2" s="1"/>
  <c r="F45" i="2"/>
  <c r="F38" i="2"/>
  <c r="F39" i="2" s="1"/>
  <c r="B16" i="2"/>
  <c r="C16" i="2" s="1"/>
  <c r="D16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Y131" i="1"/>
  <c r="Y130" i="1"/>
  <c r="X133" i="1"/>
  <c r="X134" i="1" s="1"/>
  <c r="S132" i="1"/>
  <c r="T132" i="1" s="1"/>
  <c r="O144" i="1"/>
  <c r="P144" i="1" s="1"/>
  <c r="O142" i="1"/>
  <c r="Y133" i="1" l="1"/>
  <c r="F152" i="1"/>
  <c r="R18" i="5"/>
  <c r="R19" i="5" s="1"/>
  <c r="R9" i="5"/>
  <c r="R10" i="5" s="1"/>
  <c r="Q83" i="3"/>
  <c r="S36" i="3"/>
  <c r="T36" i="3" s="1"/>
  <c r="S33" i="3"/>
  <c r="T33" i="3" s="1"/>
  <c r="T40" i="3"/>
  <c r="S11" i="3"/>
  <c r="H19" i="3" s="1"/>
  <c r="H27" i="3" s="1"/>
  <c r="R27" i="3"/>
  <c r="F41" i="2"/>
  <c r="H41" i="2" s="1"/>
  <c r="M45" i="2"/>
  <c r="N45" i="2" s="1"/>
  <c r="O45" i="2" s="1"/>
  <c r="H39" i="2"/>
  <c r="J39" i="2"/>
  <c r="J53" i="2"/>
  <c r="G45" i="2"/>
  <c r="J38" i="2"/>
  <c r="F42" i="2"/>
  <c r="C15" i="3"/>
  <c r="C23" i="3" s="1"/>
  <c r="C31" i="3" s="1"/>
  <c r="B15" i="2"/>
  <c r="G11" i="3"/>
  <c r="D19" i="3" s="1"/>
  <c r="P11" i="3"/>
  <c r="G19" i="3" s="1"/>
  <c r="G27" i="3" s="1"/>
  <c r="S14" i="3"/>
  <c r="H22" i="3" s="1"/>
  <c r="H30" i="3" s="1"/>
  <c r="J7" i="3"/>
  <c r="K8" i="3" s="1"/>
  <c r="C11" i="3"/>
  <c r="C19" i="3" s="1"/>
  <c r="G14" i="3"/>
  <c r="D22" i="3" s="1"/>
  <c r="D30" i="3" s="1"/>
  <c r="P12" i="3"/>
  <c r="G20" i="3" s="1"/>
  <c r="G28" i="3" s="1"/>
  <c r="S15" i="3"/>
  <c r="H23" i="3" s="1"/>
  <c r="H31" i="3" s="1"/>
  <c r="C12" i="3"/>
  <c r="C20" i="3" s="1"/>
  <c r="C28" i="3" s="1"/>
  <c r="G15" i="3"/>
  <c r="D23" i="3" s="1"/>
  <c r="D31" i="3" s="1"/>
  <c r="P15" i="3"/>
  <c r="G23" i="3" s="1"/>
  <c r="J14" i="3"/>
  <c r="E22" i="3" s="1"/>
  <c r="E30" i="3" s="1"/>
  <c r="C13" i="3"/>
  <c r="C21" i="3" s="1"/>
  <c r="C29" i="3" s="1"/>
  <c r="G12" i="3"/>
  <c r="D20" i="3" s="1"/>
  <c r="D28" i="3" s="1"/>
  <c r="J11" i="3"/>
  <c r="E19" i="3" s="1"/>
  <c r="J15" i="3"/>
  <c r="E23" i="3" s="1"/>
  <c r="E31" i="3" s="1"/>
  <c r="M14" i="3"/>
  <c r="F22" i="3" s="1"/>
  <c r="F30" i="3" s="1"/>
  <c r="P13" i="3"/>
  <c r="G21" i="3" s="1"/>
  <c r="G29" i="3" s="1"/>
  <c r="S12" i="3"/>
  <c r="H20" i="3" s="1"/>
  <c r="H28" i="3" s="1"/>
  <c r="J13" i="3"/>
  <c r="E21" i="3" s="1"/>
  <c r="E29" i="3" s="1"/>
  <c r="M13" i="3"/>
  <c r="F21" i="3" s="1"/>
  <c r="F29" i="3" s="1"/>
  <c r="M11" i="3"/>
  <c r="F19" i="3" s="1"/>
  <c r="F27" i="3" s="1"/>
  <c r="B19" i="2"/>
  <c r="B20" i="2" s="1"/>
  <c r="C20" i="2"/>
  <c r="D20" i="2" s="1"/>
  <c r="B21" i="2"/>
  <c r="K143" i="1"/>
  <c r="L141" i="1"/>
  <c r="I141" i="1"/>
  <c r="J138" i="1"/>
  <c r="K137" i="1"/>
  <c r="I137" i="1"/>
  <c r="I134" i="1"/>
  <c r="G134" i="1" s="1"/>
  <c r="J135" i="1"/>
  <c r="K134" i="1"/>
  <c r="M134" i="1" s="1"/>
  <c r="N134" i="1" s="1"/>
  <c r="O134" i="1" s="1"/>
  <c r="Q134" i="1" s="1"/>
  <c r="N129" i="1"/>
  <c r="N128" i="1"/>
  <c r="N127" i="1"/>
  <c r="N126" i="1"/>
  <c r="N125" i="1"/>
  <c r="H129" i="1"/>
  <c r="I129" i="1" s="1"/>
  <c r="J129" i="1" s="1"/>
  <c r="K129" i="1" s="1"/>
  <c r="H128" i="1"/>
  <c r="Q128" i="1" s="1"/>
  <c r="R128" i="1" s="1"/>
  <c r="H127" i="1"/>
  <c r="Q127" i="1" s="1"/>
  <c r="R127" i="1" s="1"/>
  <c r="H126" i="1"/>
  <c r="Q126" i="1" s="1"/>
  <c r="R126" i="1" s="1"/>
  <c r="H125" i="1"/>
  <c r="Q125" i="1" s="1"/>
  <c r="T105" i="1"/>
  <c r="U105" i="1" s="1"/>
  <c r="U106" i="1" s="1"/>
  <c r="T102" i="1"/>
  <c r="T103" i="1" s="1"/>
  <c r="U103" i="1" s="1"/>
  <c r="V103" i="1" s="1"/>
  <c r="Y116" i="1"/>
  <c r="Z116" i="1" s="1"/>
  <c r="Z115" i="1"/>
  <c r="AA115" i="1" s="1"/>
  <c r="W120" i="1"/>
  <c r="X120" i="1" s="1"/>
  <c r="Y120" i="1" s="1"/>
  <c r="AA114" i="1"/>
  <c r="AB114" i="1" s="1"/>
  <c r="AC114" i="1" s="1"/>
  <c r="AE101" i="1"/>
  <c r="Z109" i="1"/>
  <c r="AA109" i="1" s="1"/>
  <c r="AC109" i="1" s="1"/>
  <c r="AD109" i="1" s="1"/>
  <c r="AD111" i="1" s="1"/>
  <c r="X105" i="1"/>
  <c r="X109" i="1"/>
  <c r="Z111" i="1"/>
  <c r="Y110" i="1"/>
  <c r="Z110" i="1" s="1"/>
  <c r="I127" i="1" l="1"/>
  <c r="J127" i="1" s="1"/>
  <c r="K127" i="1" s="1"/>
  <c r="Y112" i="1"/>
  <c r="Z112" i="1" s="1"/>
  <c r="F33" i="3"/>
  <c r="J29" i="3"/>
  <c r="J28" i="3"/>
  <c r="J30" i="3"/>
  <c r="R125" i="1"/>
  <c r="B14" i="2"/>
  <c r="C15" i="2"/>
  <c r="D15" i="2" s="1"/>
  <c r="I128" i="1"/>
  <c r="J128" i="1" s="1"/>
  <c r="H33" i="3"/>
  <c r="E27" i="3"/>
  <c r="E25" i="3"/>
  <c r="G25" i="3"/>
  <c r="G31" i="3"/>
  <c r="J31" i="3" s="1"/>
  <c r="Q129" i="1"/>
  <c r="R129" i="1" s="1"/>
  <c r="G33" i="3"/>
  <c r="H42" i="2"/>
  <c r="J41" i="2"/>
  <c r="L41" i="2" s="1"/>
  <c r="H25" i="3"/>
  <c r="I125" i="1"/>
  <c r="J125" i="1" s="1"/>
  <c r="I126" i="1"/>
  <c r="J126" i="1" s="1"/>
  <c r="C19" i="2"/>
  <c r="D19" i="2" s="1"/>
  <c r="C27" i="3"/>
  <c r="C25" i="3"/>
  <c r="D27" i="3"/>
  <c r="D25" i="3"/>
  <c r="F25" i="3"/>
  <c r="C21" i="2"/>
  <c r="D21" i="2" s="1"/>
  <c r="B22" i="2"/>
  <c r="AB120" i="1"/>
  <c r="AC120" i="1" s="1"/>
  <c r="AB119" i="1"/>
  <c r="AC119" i="1" s="1"/>
  <c r="AB117" i="1"/>
  <c r="S115" i="1"/>
  <c r="P115" i="1"/>
  <c r="S107" i="1"/>
  <c r="S111" i="1"/>
  <c r="O110" i="1"/>
  <c r="O109" i="1"/>
  <c r="O108" i="1"/>
  <c r="O107" i="1"/>
  <c r="O106" i="1"/>
  <c r="V116" i="1"/>
  <c r="S116" i="1"/>
  <c r="T116" i="1" s="1"/>
  <c r="Q116" i="1"/>
  <c r="Q117" i="1" s="1"/>
  <c r="O116" i="1"/>
  <c r="R120" i="1"/>
  <c r="T120" i="1" s="1"/>
  <c r="P120" i="1"/>
  <c r="M120" i="1"/>
  <c r="I111" i="1"/>
  <c r="J101" i="1"/>
  <c r="J102" i="1" s="1"/>
  <c r="J108" i="1" s="1"/>
  <c r="H101" i="1"/>
  <c r="H102" i="1" s="1"/>
  <c r="G101" i="1"/>
  <c r="G102" i="1" s="1"/>
  <c r="F101" i="1"/>
  <c r="F102" i="1" s="1"/>
  <c r="E101" i="1"/>
  <c r="E102" i="1" s="1"/>
  <c r="D101" i="1"/>
  <c r="D102" i="1" s="1"/>
  <c r="C101" i="1"/>
  <c r="C102" i="1" s="1"/>
  <c r="B66" i="1"/>
  <c r="B65" i="1"/>
  <c r="B64" i="1"/>
  <c r="D54" i="1"/>
  <c r="C54" i="1"/>
  <c r="B54" i="1"/>
  <c r="D53" i="1"/>
  <c r="C53" i="1"/>
  <c r="B53" i="1"/>
  <c r="D52" i="1"/>
  <c r="C52" i="1"/>
  <c r="B52" i="1"/>
  <c r="J60" i="1"/>
  <c r="F60" i="1"/>
  <c r="B60" i="1"/>
  <c r="J59" i="1"/>
  <c r="F59" i="1"/>
  <c r="B59" i="1"/>
  <c r="J58" i="1"/>
  <c r="F58" i="1"/>
  <c r="B58" i="1"/>
  <c r="B47" i="1"/>
  <c r="B46" i="1"/>
  <c r="B45" i="1"/>
  <c r="B40" i="1"/>
  <c r="B39" i="1"/>
  <c r="B38" i="1"/>
  <c r="O111" i="1" l="1"/>
  <c r="E33" i="3"/>
  <c r="D33" i="3"/>
  <c r="C33" i="3"/>
  <c r="J27" i="3"/>
  <c r="K125" i="1"/>
  <c r="L125" i="1"/>
  <c r="C14" i="2"/>
  <c r="D14" i="2" s="1"/>
  <c r="B13" i="2"/>
  <c r="C13" i="2" s="1"/>
  <c r="D13" i="2" s="1"/>
  <c r="L126" i="1"/>
  <c r="K126" i="1"/>
  <c r="Q131" i="1"/>
  <c r="K128" i="1"/>
  <c r="L128" i="1"/>
  <c r="R131" i="1"/>
  <c r="B23" i="2"/>
  <c r="C22" i="2"/>
  <c r="D22" i="2" s="1"/>
  <c r="T117" i="1"/>
  <c r="X117" i="1" s="1"/>
  <c r="Y117" i="1" s="1"/>
  <c r="U116" i="1"/>
  <c r="S123" i="1"/>
  <c r="L108" i="1"/>
  <c r="K108" i="1"/>
  <c r="T115" i="1"/>
  <c r="U115" i="1" s="1"/>
  <c r="D104" i="1"/>
  <c r="D106" i="1"/>
  <c r="D105" i="1"/>
  <c r="D108" i="1"/>
  <c r="D107" i="1"/>
  <c r="C105" i="1"/>
  <c r="C104" i="1"/>
  <c r="C106" i="1"/>
  <c r="C107" i="1"/>
  <c r="C108" i="1"/>
  <c r="E106" i="1"/>
  <c r="E105" i="1"/>
  <c r="E104" i="1"/>
  <c r="E107" i="1"/>
  <c r="E108" i="1"/>
  <c r="F104" i="1"/>
  <c r="F105" i="1"/>
  <c r="F106" i="1"/>
  <c r="F108" i="1"/>
  <c r="F107" i="1"/>
  <c r="G106" i="1"/>
  <c r="G107" i="1"/>
  <c r="G105" i="1"/>
  <c r="G108" i="1"/>
  <c r="G104" i="1"/>
  <c r="H106" i="1"/>
  <c r="H105" i="1"/>
  <c r="H104" i="1"/>
  <c r="H108" i="1"/>
  <c r="H107" i="1"/>
  <c r="J104" i="1"/>
  <c r="J105" i="1"/>
  <c r="J106" i="1"/>
  <c r="J107" i="1"/>
  <c r="AC117" i="1" l="1"/>
  <c r="AD117" i="1" s="1"/>
  <c r="K131" i="1"/>
  <c r="C23" i="2"/>
  <c r="D23" i="2" s="1"/>
  <c r="B24" i="2"/>
  <c r="L106" i="1"/>
  <c r="K106" i="1"/>
  <c r="C111" i="1"/>
  <c r="C115" i="1" s="1"/>
  <c r="L107" i="1"/>
  <c r="K107" i="1"/>
  <c r="K105" i="1"/>
  <c r="L105" i="1"/>
  <c r="K104" i="1"/>
  <c r="L104" i="1"/>
  <c r="J111" i="1"/>
  <c r="J117" i="1" s="1"/>
  <c r="E111" i="1"/>
  <c r="E117" i="1" s="1"/>
  <c r="H111" i="1"/>
  <c r="G111" i="1"/>
  <c r="G113" i="1" s="1"/>
  <c r="F111" i="1"/>
  <c r="F115" i="1" s="1"/>
  <c r="D111" i="1"/>
  <c r="D114" i="1" s="1"/>
  <c r="C114" i="1" l="1"/>
  <c r="E115" i="1"/>
  <c r="E114" i="1"/>
  <c r="F116" i="1"/>
  <c r="G115" i="1"/>
  <c r="G116" i="1"/>
  <c r="E113" i="1"/>
  <c r="G117" i="1"/>
  <c r="K109" i="1"/>
  <c r="L109" i="1" s="1"/>
  <c r="C113" i="1"/>
  <c r="K132" i="1"/>
  <c r="L137" i="1"/>
  <c r="M137" i="1" s="1"/>
  <c r="N137" i="1" s="1"/>
  <c r="K135" i="1"/>
  <c r="E116" i="1"/>
  <c r="F117" i="1"/>
  <c r="B25" i="2"/>
  <c r="C24" i="2"/>
  <c r="D24" i="2" s="1"/>
  <c r="D116" i="1"/>
  <c r="J113" i="1"/>
  <c r="C117" i="1"/>
  <c r="F114" i="1"/>
  <c r="C116" i="1"/>
  <c r="J115" i="1"/>
  <c r="F113" i="1"/>
  <c r="D113" i="1"/>
  <c r="G114" i="1"/>
  <c r="J114" i="1"/>
  <c r="D117" i="1"/>
  <c r="D115" i="1"/>
  <c r="J116" i="1"/>
  <c r="B26" i="2" l="1"/>
  <c r="C25" i="2"/>
  <c r="D25" i="2" s="1"/>
  <c r="B27" i="2" l="1"/>
  <c r="C26" i="2"/>
  <c r="D26" i="2" s="1"/>
  <c r="C27" i="2" l="1"/>
  <c r="D27" i="2" s="1"/>
  <c r="B28" i="2"/>
  <c r="B29" i="2" l="1"/>
  <c r="C28" i="2"/>
  <c r="D28" i="2" s="1"/>
  <c r="C29" i="2" l="1"/>
  <c r="D29" i="2" s="1"/>
  <c r="B30" i="2"/>
  <c r="B31" i="2" l="1"/>
  <c r="C30" i="2"/>
  <c r="D30" i="2" s="1"/>
  <c r="B32" i="2" l="1"/>
  <c r="C31" i="2"/>
  <c r="D31" i="2" s="1"/>
  <c r="C32" i="2" l="1"/>
  <c r="D32" i="2" s="1"/>
  <c r="B33" i="2"/>
  <c r="C33" i="2" l="1"/>
  <c r="D33" i="2" s="1"/>
  <c r="B34" i="2"/>
  <c r="B35" i="2" l="1"/>
  <c r="C34" i="2"/>
  <c r="D34" i="2" s="1"/>
  <c r="B36" i="2" l="1"/>
  <c r="C35" i="2"/>
  <c r="D35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B41" i="2" l="1"/>
  <c r="C40" i="2"/>
  <c r="D40" i="2" s="1"/>
  <c r="B42" i="2" l="1"/>
  <c r="C41" i="2"/>
  <c r="D41" i="2" s="1"/>
  <c r="B43" i="2" l="1"/>
  <c r="C42" i="2"/>
  <c r="D42" i="2" s="1"/>
  <c r="C43" i="2" l="1"/>
  <c r="D43" i="2" s="1"/>
  <c r="B44" i="2"/>
  <c r="C44" i="2" l="1"/>
  <c r="D44" i="2" s="1"/>
  <c r="B45" i="2"/>
  <c r="B46" i="2" l="1"/>
  <c r="C45" i="2"/>
  <c r="D45" i="2" s="1"/>
  <c r="C46" i="2" l="1"/>
  <c r="D46" i="2" s="1"/>
  <c r="B47" i="2"/>
  <c r="C47" i="2" l="1"/>
  <c r="D47" i="2" s="1"/>
  <c r="B48" i="2"/>
  <c r="C48" i="2" l="1"/>
  <c r="D48" i="2" s="1"/>
  <c r="B49" i="2"/>
  <c r="B50" i="2" l="1"/>
  <c r="C49" i="2"/>
  <c r="D49" i="2" s="1"/>
  <c r="C50" i="2" l="1"/>
  <c r="D50" i="2" s="1"/>
  <c r="B51" i="2"/>
  <c r="C51" i="2" l="1"/>
  <c r="D51" i="2" s="1"/>
  <c r="B52" i="2"/>
  <c r="B53" i="2" l="1"/>
  <c r="C52" i="2"/>
  <c r="D52" i="2" s="1"/>
  <c r="C53" i="2" l="1"/>
  <c r="D53" i="2" s="1"/>
  <c r="B54" i="2"/>
  <c r="C54" i="2" l="1"/>
  <c r="D54" i="2" s="1"/>
  <c r="B55" i="2"/>
  <c r="C55" i="2" l="1"/>
  <c r="D55" i="2" s="1"/>
  <c r="B56" i="2"/>
  <c r="C56" i="2" l="1"/>
  <c r="D56" i="2" s="1"/>
  <c r="B57" i="2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<sst xmlns="http://schemas.openxmlformats.org/spreadsheetml/2006/main" count="147" uniqueCount="118">
  <si>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</si>
  <si>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</si>
  <si>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</si>
  <si>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</si>
  <si>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</si>
  <si>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</si>
  <si>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</si>
  <si>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</si>
  <si>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</si>
  <si>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</si>
  <si>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</si>
  <si>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</si>
  <si>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</si>
  <si>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</si>
  <si>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</si>
  <si>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</si>
  <si>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</si>
  <si>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</si>
  <si>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</si>
  <si>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</si>
  <si>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</si>
  <si>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</si>
  <si>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</si>
  <si>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</si>
  <si>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</si>
  <si>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</si>
  <si>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</si>
  <si>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</si>
  <si>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</si>
  <si>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</si>
  <si>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</si>
  <si>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</si>
  <si>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 xml:space="preserve">   =3*93900 + 1*52100 + 2*80200</t>
  </si>
  <si>
    <t xml:space="preserve">   =51*93900 + 30*52100 + 45*80200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</si>
  <si>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</si>
  <si>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</si>
  <si>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</si>
  <si>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</si>
  <si>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</si>
  <si>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</si>
  <si>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</si>
  <si>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 xml:space="preserve">   =3*3 + 1*1 + 2*2</t>
  </si>
  <si>
    <t xml:space="preserve">   =51*3 + 30*1 + 45*2</t>
  </si>
  <si>
    <t xml:space="preserve">   =3*3 + 1*1 + 2*</t>
  </si>
  <si>
    <t xml:space="preserve">   =273*2200 + 5526*1600 + 273*1900</t>
  </si>
  <si>
    <t xml:space="preserve">   = 14*2200 + 273*1600 + 14*1900</t>
  </si>
  <si>
    <t>В первом способе нам потребовалось 30 операций, а во втором 60.</t>
  </si>
  <si>
    <t>Ответ: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</si>
  <si>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</si>
  <si>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</si>
  <si>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</si>
  <si>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</si>
  <si>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</si>
  <si>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</si>
  <si>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</si>
  <si>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</si>
  <si>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</si>
  <si>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</si>
  <si>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</si>
  <si>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</si>
  <si>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</si>
  <si>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</si>
  <si>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</si>
  <si>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</si>
  <si>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</si>
  <si>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</si>
  <si>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</si>
  <si>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</si>
  <si>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</si>
  <si>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</si>
  <si>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</si>
  <si>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</si>
  <si>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</si>
  <si>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</si>
  <si>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</si>
  <si>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</si>
  <si>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</si>
  <si>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</si>
  <si>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</si>
  <si>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</si>
  <si>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</si>
  <si>
    <t>x_1</t>
  </si>
  <si>
    <t>x_2</t>
  </si>
  <si>
    <t>x_3</t>
  </si>
  <si>
    <t>x_4</t>
  </si>
  <si>
    <t>x_5</t>
  </si>
  <si>
    <t>y</t>
  </si>
  <si>
    <t>среднее</t>
  </si>
  <si>
    <t>центрированые</t>
  </si>
  <si>
    <t>длина ц.в.</t>
  </si>
  <si>
    <t>standart</t>
  </si>
  <si>
    <t>check</t>
  </si>
  <si>
    <t>Спальный</t>
  </si>
  <si>
    <t>Центральный</t>
  </si>
  <si>
    <r>
      <t xml:space="preserve">Итого 15 операций. </t>
    </r>
    <r>
      <rPr>
        <b/>
        <i/>
        <sz val="11"/>
        <color theme="1"/>
        <rFont val="Aptos Narrow"/>
        <family val="2"/>
        <scheme val="minor"/>
      </rPr>
      <t>Всего 60 операций</t>
    </r>
    <r>
      <rPr>
        <i/>
        <sz val="11"/>
        <color theme="1"/>
        <rFont val="Aptos Narrow"/>
        <family val="2"/>
        <scheme val="minor"/>
      </rPr>
      <t xml:space="preserve"> (15+45).</t>
    </r>
  </si>
  <si>
    <t>cent</t>
  </si>
  <si>
    <t>average</t>
  </si>
  <si>
    <t>cent^2</t>
  </si>
  <si>
    <t>sum</t>
  </si>
  <si>
    <t>sqrt(sum)</t>
  </si>
  <si>
    <t>st1</t>
  </si>
  <si>
    <t>st2</t>
  </si>
  <si>
    <t>sqrt</t>
  </si>
  <si>
    <t>sent_2025_1015_2200</t>
  </si>
  <si>
    <t>sqrt(2)</t>
  </si>
  <si>
    <t>round</t>
  </si>
  <si>
    <t>st1+st2=st_n</t>
  </si>
  <si>
    <r>
      <t xml:space="preserve">Итого 15 операций на столбец, </t>
    </r>
    <r>
      <rPr>
        <b/>
        <i/>
        <sz val="11"/>
        <color theme="1"/>
        <rFont val="Aptos Narrow"/>
        <family val="2"/>
        <scheme val="minor"/>
      </rPr>
      <t>всего 45 операций</t>
    </r>
    <r>
      <rPr>
        <i/>
        <sz val="11"/>
        <color theme="1"/>
        <rFont val="Aptos Narrow"/>
        <family val="2"/>
        <scheme val="minor"/>
      </rPr>
      <t>.</t>
    </r>
  </si>
  <si>
    <r>
      <t xml:space="preserve">Найдём произведение транспонированной матрицы </t>
    </r>
    <r>
      <rPr>
        <b/>
        <sz val="11"/>
        <color theme="1"/>
        <rFont val="Aptos Narrow"/>
        <family val="2"/>
        <scheme val="minor"/>
      </rPr>
      <t>Х</t>
    </r>
    <r>
      <rPr>
        <sz val="11"/>
        <color theme="1"/>
        <rFont val="Aptos Narrow"/>
        <family val="2"/>
        <charset val="204"/>
        <scheme val="minor"/>
      </rPr>
      <t xml:space="preserve"> слева на получившийся вектор </t>
    </r>
    <r>
      <rPr>
        <b/>
        <sz val="11"/>
        <color theme="1"/>
        <rFont val="Aptos Narrow"/>
        <family val="2"/>
        <scheme val="minor"/>
      </rPr>
      <t>u</t>
    </r>
    <r>
      <rPr>
        <sz val="11"/>
        <color theme="1"/>
        <rFont val="Aptos Narrow"/>
        <family val="2"/>
        <charset val="204"/>
        <scheme val="minor"/>
      </rPr>
      <t>.</t>
    </r>
  </si>
  <si>
    <r>
      <t xml:space="preserve">Найдём матрицу </t>
    </r>
    <r>
      <rPr>
        <b/>
        <sz val="11"/>
        <color theme="1"/>
        <rFont val="Aptos Narrow"/>
        <family val="2"/>
        <scheme val="minor"/>
      </rPr>
      <t>М</t>
    </r>
    <r>
      <rPr>
        <sz val="11"/>
        <color theme="1"/>
        <rFont val="Aptos Narrow"/>
        <family val="2"/>
        <charset val="204"/>
        <scheme val="minor"/>
      </rPr>
      <t xml:space="preserve">, произведение транспонированой матрицы </t>
    </r>
    <r>
      <rPr>
        <b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charset val="204"/>
        <scheme val="minor"/>
      </rPr>
      <t xml:space="preserve"> (3*3) и </t>
    </r>
    <r>
      <rPr>
        <b/>
        <sz val="11"/>
        <color theme="1"/>
        <rFont val="Aptos Narrow"/>
        <family val="2"/>
        <scheme val="minor"/>
      </rPr>
      <t>Х</t>
    </r>
    <r>
      <rPr>
        <sz val="11"/>
        <color theme="1"/>
        <rFont val="Aptos Narrow"/>
        <family val="2"/>
        <charset val="204"/>
        <scheme val="minor"/>
      </rPr>
      <t xml:space="preserve"> (3*3), в резульате получим матрицу размера 3 на 3.</t>
    </r>
  </si>
  <si>
    <r>
      <t xml:space="preserve">Найдём произведение матрицы </t>
    </r>
    <r>
      <rPr>
        <b/>
        <sz val="11"/>
        <color theme="1"/>
        <rFont val="Aptos Narrow"/>
        <family val="2"/>
        <scheme val="minor"/>
      </rPr>
      <t>М</t>
    </r>
    <r>
      <rPr>
        <sz val="11"/>
        <color theme="1"/>
        <rFont val="Aptos Narrow"/>
        <family val="2"/>
        <charset val="204"/>
        <scheme val="minor"/>
      </rPr>
      <t xml:space="preserve"> и вектора-столбца </t>
    </r>
    <r>
      <rPr>
        <b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charset val="204"/>
        <scheme val="minor"/>
      </rPr>
      <t>.</t>
    </r>
  </si>
  <si>
    <t>Первый и второй способ перемножения дают нам один и тот же вектор столбец.</t>
  </si>
  <si>
    <r>
      <rPr>
        <b/>
        <sz val="11"/>
        <color theme="1"/>
        <rFont val="Aptos Narrow"/>
        <family val="2"/>
        <scheme val="minor"/>
      </rPr>
      <t>Вывод</t>
    </r>
    <r>
      <rPr>
        <sz val="11"/>
        <color theme="1"/>
        <rFont val="Aptos Narrow"/>
        <family val="2"/>
        <charset val="204"/>
        <scheme val="minor"/>
      </rPr>
      <t>: для задач по анализу данных следует выбирать порядок умножения матриц с меньшими размерностями справа,</t>
    </r>
  </si>
  <si>
    <r>
      <t xml:space="preserve">Вычислим </t>
    </r>
    <r>
      <rPr>
        <b/>
        <sz val="11"/>
        <color theme="1"/>
        <rFont val="Aptos Narrow"/>
        <family val="2"/>
        <scheme val="minor"/>
      </rPr>
      <t>u</t>
    </r>
    <r>
      <rPr>
        <sz val="11"/>
        <color theme="1"/>
        <rFont val="Aptos Narrow"/>
        <family val="2"/>
        <charset val="204"/>
        <scheme val="minor"/>
      </rPr>
      <t xml:space="preserve">, произведение матрицы </t>
    </r>
    <r>
      <rPr>
        <b/>
        <sz val="11"/>
        <color theme="1"/>
        <rFont val="Aptos Narrow"/>
        <family val="2"/>
        <scheme val="minor"/>
      </rPr>
      <t>Х</t>
    </r>
    <r>
      <rPr>
        <sz val="11"/>
        <color theme="1"/>
        <rFont val="Aptos Narrow"/>
        <family val="2"/>
        <charset val="204"/>
        <scheme val="minor"/>
      </rPr>
      <t xml:space="preserve"> размером 3 строки на 3 столбца и вектора столбца </t>
    </r>
    <r>
      <rPr>
        <b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charset val="204"/>
        <scheme val="minor"/>
      </rPr>
      <t xml:space="preserve">. В результате получим вектор столбец </t>
    </r>
    <r>
      <rPr>
        <b/>
        <sz val="11"/>
        <color theme="1"/>
        <rFont val="Aptos Narrow"/>
        <family val="2"/>
        <scheme val="minor"/>
      </rPr>
      <t>u</t>
    </r>
    <r>
      <rPr>
        <sz val="11"/>
        <color theme="1"/>
        <rFont val="Aptos Narrow"/>
        <family val="2"/>
        <charset val="204"/>
        <scheme val="minor"/>
      </rPr>
      <t xml:space="preserve"> размером 3х1.</t>
    </r>
  </si>
  <si>
    <r>
      <t xml:space="preserve">Итого в каждой строке у нас 3 умножения и 2 сложения, 5 операций на строку, </t>
    </r>
    <r>
      <rPr>
        <b/>
        <i/>
        <sz val="11"/>
        <color theme="1"/>
        <rFont val="Aptos Narrow"/>
        <family val="2"/>
        <scheme val="minor"/>
      </rPr>
      <t>15</t>
    </r>
    <r>
      <rPr>
        <i/>
        <sz val="11"/>
        <color theme="1"/>
        <rFont val="Aptos Narrow"/>
        <family val="2"/>
        <scheme val="minor"/>
      </rPr>
      <t xml:space="preserve"> на весь вектор.</t>
    </r>
  </si>
  <si>
    <r>
      <t xml:space="preserve">Итого еще </t>
    </r>
    <r>
      <rPr>
        <b/>
        <i/>
        <sz val="11"/>
        <color theme="1"/>
        <rFont val="Aptos Narrow"/>
        <family val="2"/>
        <scheme val="minor"/>
      </rPr>
      <t>15</t>
    </r>
    <r>
      <rPr>
        <i/>
        <sz val="11"/>
        <color theme="1"/>
        <rFont val="Aptos Narrow"/>
        <family val="2"/>
        <scheme val="minor"/>
      </rPr>
      <t xml:space="preserve"> операций или </t>
    </r>
    <r>
      <rPr>
        <b/>
        <i/>
        <sz val="11"/>
        <color theme="1"/>
        <rFont val="Aptos Narrow"/>
        <family val="2"/>
        <scheme val="minor"/>
      </rPr>
      <t>всего 30 операций</t>
    </r>
    <r>
      <rPr>
        <i/>
        <sz val="11"/>
        <color theme="1"/>
        <rFont val="Aptos Narrow"/>
        <family val="2"/>
        <scheme val="minor"/>
      </rPr>
      <t>.</t>
    </r>
  </si>
  <si>
    <r>
      <t xml:space="preserve">Первый столбец матрицы </t>
    </r>
    <r>
      <rPr>
        <b/>
        <sz val="11"/>
        <color theme="1"/>
        <rFont val="Aptos Narrow"/>
        <family val="2"/>
        <scheme val="minor"/>
      </rPr>
      <t>М</t>
    </r>
    <r>
      <rPr>
        <sz val="11"/>
        <color theme="1"/>
        <rFont val="Aptos Narrow"/>
        <family val="2"/>
        <charset val="204"/>
        <scheme val="minor"/>
      </rPr>
      <t xml:space="preserve"> получаем так же как и при умножении на первый вектор столбец, </t>
    </r>
  </si>
  <si>
    <t>а второй и третий умножением на соответствующие столбцы.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</si>
</sst>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.00000"/>
  </numFmts>
  <fonts count="12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5" fillId="0" borderId="0" xfId="0" applyNumberFormat="1" applyFont="1"/>
    <xf numFmtId="164" fontId="0" fillId="0" borderId="2" xfId="0" applyNumberFormat="1" applyBorder="1"/>
    <xf numFmtId="165" fontId="0" fillId="0" borderId="0" xfId="0" applyNumberFormat="1"/>
    <xf numFmtId="0" fontId="0" fillId="6" borderId="0" xfId="0" applyFill="1"/>
    <xf numFmtId="166" fontId="0" fillId="0" borderId="0" xfId="0" applyNumberFormat="1"/>
    <xf numFmtId="165" fontId="10" fillId="6" borderId="0" xfId="0" applyNumberFormat="1" applyFont="1" applyFill="1"/>
    <xf numFmtId="165" fontId="10" fillId="7" borderId="0" xfId="0" applyNumberFormat="1" applyFont="1" applyFill="1"/>
    <xf numFmtId="165" fontId="6" fillId="0" borderId="0" xfId="0" applyNumberFormat="1" applyFont="1"/>
    <xf numFmtId="165" fontId="11" fillId="0" borderId="0" xfId="0" applyNumberFormat="1" applyFont="1"/>
    <xf numFmtId="4" fontId="0" fillId="0" borderId="0" xfId="0" applyNumberFormat="1"/>
    <xf numFmtId="0" fontId="0" fillId="8" borderId="0" xfId="0" applyFill="1"/>
    <xf numFmtId="0" fontId="0" fillId="8" borderId="0" xfId="0" applyFill="1" applyAlignment="1">
      <alignment horizontal="right"/>
    </xf>
    <xf numFmtId="0" fontId="0" fillId="9" borderId="0" xfId="0" applyFill="1"/>
    <xf numFmtId="0" fontId="5" fillId="8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5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8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5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8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7</xdr:col>
      <xdr:colOff>0</xdr:colOff>
      <xdr:row>42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1</xdr:col>
      <xdr:colOff>0</xdr:colOff>
      <xdr:row>42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38100</xdr:colOff>
      <xdr:row>50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1</xdr:col>
      <xdr:colOff>0</xdr:colOff>
      <xdr:row>61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1</xdr:col>
      <xdr:colOff>6350</xdr:colOff>
      <xdr:row>68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473075</xdr:colOff>
      <xdr:row>98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10</xdr:col>
      <xdr:colOff>161925</xdr:colOff>
      <xdr:row>109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B1:AE158"/>
  <sheetViews>
    <sheetView tabSelected="1" topLeftCell="A49" zoomScale="110" zoomScaleNormal="110" workbookViewId="0">
      <selection activeCell="B69" sqref="B69"/>
    </sheetView>
  </sheetViews>
  <sheetFormatPr defaultRowHeight="14.5" x14ac:dyDescent="0.35"/>
  <cols>
    <col min="7" max="9" width="7.6328125" customWidth="1"/>
    <col min="11" max="11" width="6.08984375" customWidth="1"/>
    <col min="26" max="26" width="12.7265625" customWidth="1"/>
  </cols>
  <sheetData>
    <row r="1" spans="2:8" ht="15" thickBot="1" x14ac:dyDescent="0.4">
      <c r="B1" s="5" t="s">
        <v>0</v>
      </c>
    </row>
    <row r="2" spans="2:8" ht="15" thickBot="1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2:8" ht="15" thickBot="1" x14ac:dyDescent="0.4">
      <c r="B3" s="2">
        <v>3</v>
      </c>
      <c r="C3" s="2">
        <v>51</v>
      </c>
      <c r="D3" s="2">
        <v>3</v>
      </c>
      <c r="E3" s="2">
        <v>0</v>
      </c>
      <c r="F3" s="2">
        <v>1</v>
      </c>
      <c r="G3" s="2">
        <v>0</v>
      </c>
      <c r="H3" s="2">
        <v>2200</v>
      </c>
    </row>
    <row r="4" spans="2:8" ht="15" thickBot="1" x14ac:dyDescent="0.4">
      <c r="B4" s="3">
        <v>1</v>
      </c>
      <c r="C4" s="3">
        <v>30</v>
      </c>
      <c r="D4" s="3">
        <v>1</v>
      </c>
      <c r="E4" s="3">
        <v>0</v>
      </c>
      <c r="F4" s="3">
        <v>1</v>
      </c>
      <c r="G4" s="3">
        <v>0</v>
      </c>
      <c r="H4" s="3">
        <v>1600</v>
      </c>
    </row>
    <row r="5" spans="2:8" ht="15" thickBot="1" x14ac:dyDescent="0.4">
      <c r="B5" s="3">
        <v>2</v>
      </c>
      <c r="C5" s="3">
        <v>45</v>
      </c>
      <c r="D5" s="3">
        <v>2</v>
      </c>
      <c r="E5" s="3">
        <v>0</v>
      </c>
      <c r="F5" s="3">
        <v>1</v>
      </c>
      <c r="G5" s="3">
        <v>0</v>
      </c>
      <c r="H5" s="3">
        <v>1900</v>
      </c>
    </row>
    <row r="6" spans="2:8" ht="15" thickBot="1" x14ac:dyDescent="0.4">
      <c r="B6" s="3">
        <v>3</v>
      </c>
      <c r="C6" s="3">
        <v>55</v>
      </c>
      <c r="D6" s="3">
        <v>1</v>
      </c>
      <c r="E6" s="3">
        <v>0</v>
      </c>
      <c r="F6" s="3">
        <v>1</v>
      </c>
      <c r="G6" s="3">
        <v>0</v>
      </c>
      <c r="H6" s="3">
        <v>2000</v>
      </c>
    </row>
    <row r="7" spans="2:8" ht="15" thickBot="1" x14ac:dyDescent="0.4">
      <c r="B7" s="3">
        <v>1</v>
      </c>
      <c r="C7" s="3">
        <v>45</v>
      </c>
      <c r="D7" s="3">
        <v>3</v>
      </c>
      <c r="E7" s="3">
        <v>1</v>
      </c>
      <c r="F7" s="3">
        <v>0</v>
      </c>
      <c r="G7" s="3">
        <v>0</v>
      </c>
      <c r="H7" s="3">
        <v>4500</v>
      </c>
    </row>
    <row r="9" spans="2:8" ht="23" x14ac:dyDescent="0.5">
      <c r="B9" s="4" t="s">
        <v>10</v>
      </c>
    </row>
    <row r="11" spans="2:8" x14ac:dyDescent="0.35">
      <c r="B11" t="s">
        <v>11</v>
      </c>
    </row>
    <row r="12" spans="2:8" x14ac:dyDescent="0.35">
      <c r="B12" t="s">
        <v>12</v>
      </c>
    </row>
    <row r="14" spans="2:8" x14ac:dyDescent="0.35">
      <c r="D14" t="s">
        <v>13</v>
      </c>
    </row>
    <row r="15" spans="2:8" x14ac:dyDescent="0.35">
      <c r="D15" t="s">
        <v>14</v>
      </c>
    </row>
    <row r="17" spans="2:8" ht="15" thickBot="1" x14ac:dyDescent="0.4">
      <c r="B17" t="s">
        <v>8</v>
      </c>
      <c r="F17" t="s">
        <v>9</v>
      </c>
    </row>
    <row r="18" spans="2:8" ht="15" thickBot="1" x14ac:dyDescent="0.4">
      <c r="B18" s="2">
        <v>3</v>
      </c>
      <c r="C18" s="2">
        <v>51</v>
      </c>
      <c r="D18" s="2">
        <v>3</v>
      </c>
      <c r="F18" s="2">
        <v>2200</v>
      </c>
    </row>
    <row r="19" spans="2:8" ht="15" thickBot="1" x14ac:dyDescent="0.4">
      <c r="B19" s="3">
        <v>1</v>
      </c>
      <c r="C19" s="3">
        <v>30</v>
      </c>
      <c r="D19" s="3">
        <v>1</v>
      </c>
      <c r="F19" s="3">
        <v>1600</v>
      </c>
    </row>
    <row r="20" spans="2:8" ht="15" thickBot="1" x14ac:dyDescent="0.4">
      <c r="B20" s="3">
        <v>2</v>
      </c>
      <c r="C20" s="3">
        <v>45</v>
      </c>
      <c r="D20" s="3">
        <v>2</v>
      </c>
      <c r="F20" s="3">
        <v>1900</v>
      </c>
    </row>
    <row r="22" spans="2:8" x14ac:dyDescent="0.35">
      <c r="B22" s="6" t="s">
        <v>15</v>
      </c>
    </row>
    <row r="24" spans="2:8" x14ac:dyDescent="0.35">
      <c r="B24" t="s">
        <v>16</v>
      </c>
    </row>
    <row r="25" spans="2:8" x14ac:dyDescent="0.35">
      <c r="B25" t="s">
        <v>23</v>
      </c>
    </row>
    <row r="26" spans="2:8" x14ac:dyDescent="0.35">
      <c r="B26" t="s">
        <v>19</v>
      </c>
      <c r="H26" t="s">
        <v>20</v>
      </c>
    </row>
    <row r="27" spans="2:8" x14ac:dyDescent="0.35">
      <c r="B27" t="s">
        <v>18</v>
      </c>
    </row>
    <row r="28" spans="2:8" x14ac:dyDescent="0.35">
      <c r="B28" t="s">
        <v>21</v>
      </c>
      <c r="H28" t="s">
        <v>20</v>
      </c>
    </row>
    <row r="29" spans="2:8" x14ac:dyDescent="0.35">
      <c r="B29" t="s">
        <v>22</v>
      </c>
    </row>
    <row r="30" spans="2:8" x14ac:dyDescent="0.35">
      <c r="B30" t="s">
        <v>24</v>
      </c>
    </row>
    <row r="31" spans="2:8" x14ac:dyDescent="0.35">
      <c r="B31" t="s">
        <v>25</v>
      </c>
    </row>
    <row r="33" spans="2:13" ht="16" x14ac:dyDescent="0.4">
      <c r="B33" s="14" t="s">
        <v>26</v>
      </c>
    </row>
    <row r="34" spans="2:13" ht="29" customHeight="1" x14ac:dyDescent="0.35">
      <c r="B34" s="6" t="s">
        <v>17</v>
      </c>
    </row>
    <row r="35" spans="2:13" x14ac:dyDescent="0.35">
      <c r="B35" t="s">
        <v>113</v>
      </c>
    </row>
    <row r="36" spans="2:13" x14ac:dyDescent="0.35">
      <c r="B36" t="s">
        <v>28</v>
      </c>
    </row>
    <row r="37" spans="2:13" x14ac:dyDescent="0.35">
      <c r="B37" s="10" t="s">
        <v>27</v>
      </c>
      <c r="G37" s="6" t="s">
        <v>8</v>
      </c>
      <c r="K37" s="10" t="s">
        <v>9</v>
      </c>
    </row>
    <row r="38" spans="2:13" x14ac:dyDescent="0.35">
      <c r="B38" s="12">
        <f>G38*K$38+H38*K$39+I38*K$40</f>
        <v>93900</v>
      </c>
      <c r="C38" s="8" t="s">
        <v>29</v>
      </c>
      <c r="G38" s="7">
        <v>3</v>
      </c>
      <c r="H38" s="7">
        <v>51</v>
      </c>
      <c r="I38" s="7">
        <v>3</v>
      </c>
      <c r="K38" s="12">
        <v>2200</v>
      </c>
      <c r="M38" s="8"/>
    </row>
    <row r="39" spans="2:13" x14ac:dyDescent="0.35">
      <c r="B39" s="12">
        <f t="shared" ref="B39:B40" si="0">G39*K$38+H39*K$39+I39*K$40</f>
        <v>52100</v>
      </c>
      <c r="C39" s="8" t="s">
        <v>30</v>
      </c>
      <c r="G39" s="7">
        <v>1</v>
      </c>
      <c r="H39" s="7">
        <v>30</v>
      </c>
      <c r="I39" s="7">
        <v>1</v>
      </c>
      <c r="K39" s="12">
        <v>1600</v>
      </c>
      <c r="M39" s="8"/>
    </row>
    <row r="40" spans="2:13" x14ac:dyDescent="0.35">
      <c r="B40" s="12">
        <f t="shared" si="0"/>
        <v>80200</v>
      </c>
      <c r="C40" s="8" t="s">
        <v>31</v>
      </c>
      <c r="G40" s="7">
        <v>2</v>
      </c>
      <c r="H40" s="7">
        <v>45</v>
      </c>
      <c r="I40" s="7">
        <v>2</v>
      </c>
      <c r="K40" s="12">
        <v>1900</v>
      </c>
      <c r="M40" s="8"/>
    </row>
    <row r="41" spans="2:13" x14ac:dyDescent="0.35">
      <c r="B41" s="11" t="s">
        <v>114</v>
      </c>
    </row>
    <row r="42" spans="2:13" x14ac:dyDescent="0.35">
      <c r="B42" s="11"/>
    </row>
    <row r="43" spans="2:13" x14ac:dyDescent="0.35">
      <c r="B43" t="s">
        <v>108</v>
      </c>
    </row>
    <row r="44" spans="2:13" x14ac:dyDescent="0.35">
      <c r="B44" s="10"/>
      <c r="K44" s="10" t="s">
        <v>27</v>
      </c>
    </row>
    <row r="45" spans="2:13" x14ac:dyDescent="0.35">
      <c r="B45" s="12">
        <f>G45*K$45+H45*K$46+I45*K$47</f>
        <v>494200</v>
      </c>
      <c r="C45" s="8" t="s">
        <v>32</v>
      </c>
      <c r="G45" s="7">
        <v>3</v>
      </c>
      <c r="H45" s="7">
        <v>1</v>
      </c>
      <c r="I45" s="7">
        <v>2</v>
      </c>
      <c r="K45" s="12">
        <v>93900</v>
      </c>
      <c r="M45" s="8"/>
    </row>
    <row r="46" spans="2:13" x14ac:dyDescent="0.35">
      <c r="B46" s="12">
        <f t="shared" ref="B46:B47" si="1">G46*K$45+H46*K$46+I46*K$47</f>
        <v>9960900</v>
      </c>
      <c r="C46" s="8" t="s">
        <v>33</v>
      </c>
      <c r="G46" s="7">
        <v>51</v>
      </c>
      <c r="H46" s="7">
        <v>30</v>
      </c>
      <c r="I46" s="7">
        <v>45</v>
      </c>
      <c r="K46" s="12">
        <v>52100</v>
      </c>
      <c r="M46" s="8"/>
    </row>
    <row r="47" spans="2:13" x14ac:dyDescent="0.35">
      <c r="B47" s="12">
        <f t="shared" si="1"/>
        <v>494200</v>
      </c>
      <c r="C47" s="8" t="s">
        <v>32</v>
      </c>
      <c r="G47" s="7">
        <v>3</v>
      </c>
      <c r="H47" s="7">
        <v>1</v>
      </c>
      <c r="I47" s="7">
        <v>2</v>
      </c>
      <c r="K47" s="12">
        <v>80200</v>
      </c>
      <c r="M47" s="8"/>
    </row>
    <row r="48" spans="2:13" x14ac:dyDescent="0.35">
      <c r="B48" s="11" t="s">
        <v>115</v>
      </c>
    </row>
    <row r="49" spans="2:13" ht="29" customHeight="1" x14ac:dyDescent="0.35">
      <c r="B49" s="6" t="s">
        <v>34</v>
      </c>
    </row>
    <row r="50" spans="2:13" x14ac:dyDescent="0.35">
      <c r="B50" t="s">
        <v>109</v>
      </c>
    </row>
    <row r="51" spans="2:13" x14ac:dyDescent="0.35">
      <c r="C51" s="6" t="s">
        <v>40</v>
      </c>
      <c r="H51" s="13"/>
      <c r="L51" s="6" t="s">
        <v>8</v>
      </c>
    </row>
    <row r="52" spans="2:13" x14ac:dyDescent="0.35">
      <c r="B52" s="12">
        <f>$G52*K$52+$H52*K$53+$I52*K$54</f>
        <v>14</v>
      </c>
      <c r="C52" s="12">
        <f t="shared" ref="C52:C54" si="2">$G52*L$52+$H52*L$53+$I52*L$54</f>
        <v>273</v>
      </c>
      <c r="D52" s="12">
        <f t="shared" ref="D52:D54" si="3">$G52*M$52+$H52*M$53+$I52*M$54</f>
        <v>14</v>
      </c>
      <c r="G52" s="7">
        <v>3</v>
      </c>
      <c r="H52" s="7">
        <v>1</v>
      </c>
      <c r="I52" s="7">
        <v>2</v>
      </c>
      <c r="K52" s="7">
        <v>3</v>
      </c>
      <c r="L52" s="7">
        <v>51</v>
      </c>
      <c r="M52" s="7">
        <v>3</v>
      </c>
    </row>
    <row r="53" spans="2:13" x14ac:dyDescent="0.35">
      <c r="B53" s="12">
        <f t="shared" ref="B53:B54" si="4">$G53*K$52+$H53*K$53+$I53*K$54</f>
        <v>273</v>
      </c>
      <c r="C53" s="12">
        <f t="shared" si="2"/>
        <v>5526</v>
      </c>
      <c r="D53" s="12">
        <f t="shared" si="3"/>
        <v>273</v>
      </c>
      <c r="G53" s="7">
        <v>51</v>
      </c>
      <c r="H53" s="7">
        <v>30</v>
      </c>
      <c r="I53" s="7">
        <v>45</v>
      </c>
      <c r="K53" s="7">
        <v>1</v>
      </c>
      <c r="L53" s="7">
        <v>30</v>
      </c>
      <c r="M53" s="7">
        <v>1</v>
      </c>
    </row>
    <row r="54" spans="2:13" x14ac:dyDescent="0.35">
      <c r="B54" s="12">
        <f t="shared" si="4"/>
        <v>14</v>
      </c>
      <c r="C54" s="12">
        <f t="shared" si="2"/>
        <v>273</v>
      </c>
      <c r="D54" s="12">
        <f t="shared" si="3"/>
        <v>14</v>
      </c>
      <c r="G54" s="7">
        <v>3</v>
      </c>
      <c r="H54" s="7">
        <v>1</v>
      </c>
      <c r="I54" s="7">
        <v>2</v>
      </c>
      <c r="K54" s="7">
        <v>2</v>
      </c>
      <c r="L54" s="7">
        <v>45</v>
      </c>
      <c r="M54" s="7">
        <v>2</v>
      </c>
    </row>
    <row r="55" spans="2:13" x14ac:dyDescent="0.35">
      <c r="B55" t="s">
        <v>116</v>
      </c>
    </row>
    <row r="56" spans="2:13" x14ac:dyDescent="0.35">
      <c r="B56" t="s">
        <v>117</v>
      </c>
    </row>
    <row r="57" spans="2:13" x14ac:dyDescent="0.35">
      <c r="B57" t="s">
        <v>35</v>
      </c>
      <c r="F57" t="s">
        <v>36</v>
      </c>
      <c r="J57" t="s">
        <v>39</v>
      </c>
    </row>
    <row r="58" spans="2:13" x14ac:dyDescent="0.35">
      <c r="B58" s="12">
        <f>$G52*K$52+$H52*K$53+$I52*K$54</f>
        <v>14</v>
      </c>
      <c r="C58" s="8" t="s">
        <v>41</v>
      </c>
      <c r="F58" s="12">
        <f>$G52*L$52+$H52*L$53+$I52*L$54</f>
        <v>273</v>
      </c>
      <c r="G58" s="8" t="s">
        <v>37</v>
      </c>
      <c r="J58" s="12">
        <f>$G52*M$52+$H52*M$53+$I52*M$54</f>
        <v>14</v>
      </c>
      <c r="K58" s="8" t="s">
        <v>41</v>
      </c>
    </row>
    <row r="59" spans="2:13" x14ac:dyDescent="0.35">
      <c r="B59" s="12">
        <f>$G53*K$52+$H53*K$53+$I53*K$54</f>
        <v>273</v>
      </c>
      <c r="C59" s="8" t="s">
        <v>42</v>
      </c>
      <c r="F59" s="12">
        <f>$G53*L$52+$H53*L$53+$I53*L$54</f>
        <v>5526</v>
      </c>
      <c r="G59" s="8" t="s">
        <v>38</v>
      </c>
      <c r="J59" s="12">
        <f>$G53*M$52+$H53*M$53+$I53*M$54</f>
        <v>273</v>
      </c>
      <c r="K59" s="8" t="s">
        <v>42</v>
      </c>
    </row>
    <row r="60" spans="2:13" x14ac:dyDescent="0.35">
      <c r="B60" s="12">
        <f>$G54*K$52+$H54*K$53+$I54*K$54</f>
        <v>14</v>
      </c>
      <c r="C60" s="8" t="s">
        <v>41</v>
      </c>
      <c r="F60" s="12">
        <f>$G54*L$52+$H54*L$53+$I54*L$54</f>
        <v>273</v>
      </c>
      <c r="G60" s="8" t="s">
        <v>37</v>
      </c>
      <c r="J60" s="12">
        <f>$G54*M$52+$H54*M$53+$I54*M$54</f>
        <v>14</v>
      </c>
      <c r="K60" s="8" t="s">
        <v>43</v>
      </c>
    </row>
    <row r="61" spans="2:13" x14ac:dyDescent="0.35">
      <c r="C61" s="11" t="s">
        <v>107</v>
      </c>
    </row>
    <row r="62" spans="2:13" x14ac:dyDescent="0.35">
      <c r="B62" t="s">
        <v>110</v>
      </c>
      <c r="C62" s="8"/>
      <c r="G62" s="8"/>
    </row>
    <row r="63" spans="2:13" x14ac:dyDescent="0.35">
      <c r="H63" s="6" t="s">
        <v>40</v>
      </c>
      <c r="K63" s="10" t="s">
        <v>9</v>
      </c>
    </row>
    <row r="64" spans="2:13" x14ac:dyDescent="0.35">
      <c r="B64" s="12">
        <f>G64*K$64+H64*K$65+I64*K$66</f>
        <v>494200</v>
      </c>
      <c r="C64" s="8" t="s">
        <v>45</v>
      </c>
      <c r="G64" s="12">
        <v>14</v>
      </c>
      <c r="H64" s="12">
        <v>273</v>
      </c>
      <c r="I64" s="12">
        <v>14</v>
      </c>
      <c r="K64" s="7">
        <v>2200</v>
      </c>
    </row>
    <row r="65" spans="2:11" x14ac:dyDescent="0.35">
      <c r="B65" s="12">
        <f t="shared" ref="B65:B66" si="5">G65*K$64+H65*K$65+I65*K$66</f>
        <v>9960900</v>
      </c>
      <c r="C65" s="8" t="s">
        <v>44</v>
      </c>
      <c r="G65" s="12">
        <v>273</v>
      </c>
      <c r="H65" s="12">
        <v>5526</v>
      </c>
      <c r="I65" s="12">
        <v>273</v>
      </c>
      <c r="K65" s="7">
        <v>1600</v>
      </c>
    </row>
    <row r="66" spans="2:11" x14ac:dyDescent="0.35">
      <c r="B66" s="12">
        <f t="shared" si="5"/>
        <v>494200</v>
      </c>
      <c r="C66" s="8" t="s">
        <v>45</v>
      </c>
      <c r="G66" s="12">
        <v>14</v>
      </c>
      <c r="H66" s="12">
        <v>273</v>
      </c>
      <c r="I66" s="12">
        <v>14</v>
      </c>
      <c r="K66" s="7">
        <v>1900</v>
      </c>
    </row>
    <row r="67" spans="2:11" x14ac:dyDescent="0.35">
      <c r="C67" s="11" t="s">
        <v>94</v>
      </c>
    </row>
    <row r="69" spans="2:11" x14ac:dyDescent="0.35">
      <c r="B69" s="6" t="s">
        <v>47</v>
      </c>
      <c r="C69" s="8"/>
    </row>
    <row r="70" spans="2:11" x14ac:dyDescent="0.35">
      <c r="D70" s="8" t="s">
        <v>111</v>
      </c>
    </row>
    <row r="71" spans="2:11" x14ac:dyDescent="0.35">
      <c r="B71" s="12">
        <v>494200</v>
      </c>
      <c r="D71" s="8" t="s">
        <v>46</v>
      </c>
    </row>
    <row r="72" spans="2:11" x14ac:dyDescent="0.35">
      <c r="B72" s="12">
        <v>9960900</v>
      </c>
      <c r="D72" s="13" t="s">
        <v>112</v>
      </c>
    </row>
    <row r="73" spans="2:11" x14ac:dyDescent="0.35">
      <c r="B73" s="12">
        <v>494200</v>
      </c>
      <c r="D73" t="s">
        <v>48</v>
      </c>
    </row>
    <row r="76" spans="2:11" ht="23" x14ac:dyDescent="0.35">
      <c r="B76" s="15" t="s">
        <v>49</v>
      </c>
    </row>
    <row r="77" spans="2:11" x14ac:dyDescent="0.35">
      <c r="B77" t="s">
        <v>60</v>
      </c>
    </row>
    <row r="78" spans="2:11" x14ac:dyDescent="0.35">
      <c r="B78" t="s">
        <v>61</v>
      </c>
    </row>
    <row r="79" spans="2:11" x14ac:dyDescent="0.35">
      <c r="B79" t="s">
        <v>62</v>
      </c>
    </row>
    <row r="80" spans="2:11" x14ac:dyDescent="0.35">
      <c r="B80" s="6" t="s">
        <v>15</v>
      </c>
    </row>
    <row r="81" spans="2:10" x14ac:dyDescent="0.35">
      <c r="B81" t="s">
        <v>56</v>
      </c>
    </row>
    <row r="82" spans="2:10" x14ac:dyDescent="0.35">
      <c r="B82" t="s">
        <v>50</v>
      </c>
    </row>
    <row r="83" spans="2:10" x14ac:dyDescent="0.35">
      <c r="B83" t="s">
        <v>51</v>
      </c>
    </row>
    <row r="84" spans="2:10" x14ac:dyDescent="0.35">
      <c r="B84" t="s">
        <v>52</v>
      </c>
    </row>
    <row r="85" spans="2:10" x14ac:dyDescent="0.35">
      <c r="B85" t="s">
        <v>53</v>
      </c>
    </row>
    <row r="86" spans="2:10" x14ac:dyDescent="0.35">
      <c r="B86" t="s">
        <v>54</v>
      </c>
    </row>
    <row r="87" spans="2:10" x14ac:dyDescent="0.35">
      <c r="B87" t="s">
        <v>55</v>
      </c>
    </row>
    <row r="89" spans="2:10" x14ac:dyDescent="0.35">
      <c r="B89" s="6" t="s">
        <v>26</v>
      </c>
    </row>
    <row r="90" spans="2:10" x14ac:dyDescent="0.35">
      <c r="B90" s="13" t="s">
        <v>57</v>
      </c>
    </row>
    <row r="91" spans="2:10" x14ac:dyDescent="0.35">
      <c r="C91" t="s">
        <v>1</v>
      </c>
      <c r="D91" t="s">
        <v>2</v>
      </c>
      <c r="E91" t="s">
        <v>3</v>
      </c>
      <c r="F91" t="s">
        <v>4</v>
      </c>
      <c r="G91" t="s">
        <v>5</v>
      </c>
      <c r="H91" t="s">
        <v>6</v>
      </c>
      <c r="J91" t="s">
        <v>7</v>
      </c>
    </row>
    <row r="92" spans="2:10" x14ac:dyDescent="0.35">
      <c r="D92" s="16"/>
      <c r="E92" s="16"/>
      <c r="F92" s="16" t="s">
        <v>58</v>
      </c>
      <c r="G92" s="16"/>
      <c r="H92" s="16"/>
      <c r="J92" s="9" t="s">
        <v>59</v>
      </c>
    </row>
    <row r="93" spans="2:10" x14ac:dyDescent="0.35">
      <c r="C93" s="7">
        <v>3</v>
      </c>
      <c r="D93" s="7">
        <v>51</v>
      </c>
      <c r="E93" s="7">
        <v>3</v>
      </c>
      <c r="F93" s="7">
        <v>0</v>
      </c>
      <c r="G93" s="7">
        <v>1</v>
      </c>
      <c r="H93" s="7">
        <v>0</v>
      </c>
      <c r="J93" s="7">
        <v>2200</v>
      </c>
    </row>
    <row r="94" spans="2:10" x14ac:dyDescent="0.35">
      <c r="C94" s="7">
        <v>1</v>
      </c>
      <c r="D94" s="7">
        <v>30</v>
      </c>
      <c r="E94" s="7">
        <v>1</v>
      </c>
      <c r="F94" s="7">
        <v>0</v>
      </c>
      <c r="G94" s="7">
        <v>1</v>
      </c>
      <c r="H94" s="7">
        <v>0</v>
      </c>
      <c r="J94" s="7">
        <v>1600</v>
      </c>
    </row>
    <row r="95" spans="2:10" x14ac:dyDescent="0.35">
      <c r="C95" s="7">
        <v>2</v>
      </c>
      <c r="D95" s="7">
        <v>45</v>
      </c>
      <c r="E95" s="7">
        <v>2</v>
      </c>
      <c r="F95" s="7">
        <v>0</v>
      </c>
      <c r="G95" s="7">
        <v>1</v>
      </c>
      <c r="H95" s="7">
        <v>0</v>
      </c>
      <c r="J95" s="7">
        <v>1900</v>
      </c>
    </row>
    <row r="96" spans="2:10" x14ac:dyDescent="0.35">
      <c r="C96" s="7">
        <v>3</v>
      </c>
      <c r="D96" s="7">
        <v>55</v>
      </c>
      <c r="E96" s="7">
        <v>1</v>
      </c>
      <c r="F96" s="7">
        <v>0</v>
      </c>
      <c r="G96" s="7">
        <v>1</v>
      </c>
      <c r="H96" s="7">
        <v>0</v>
      </c>
      <c r="J96" s="7">
        <v>2000</v>
      </c>
    </row>
    <row r="97" spans="2:31" x14ac:dyDescent="0.35">
      <c r="C97" s="7">
        <v>1</v>
      </c>
      <c r="D97" s="7">
        <v>45</v>
      </c>
      <c r="E97" s="7">
        <v>3</v>
      </c>
      <c r="F97" s="7">
        <v>1</v>
      </c>
      <c r="G97" s="7">
        <v>0</v>
      </c>
      <c r="H97" s="7">
        <v>0</v>
      </c>
      <c r="J97" s="7">
        <v>4500</v>
      </c>
    </row>
    <row r="99" spans="2:31" x14ac:dyDescent="0.35">
      <c r="B99" s="13" t="s">
        <v>63</v>
      </c>
    </row>
    <row r="100" spans="2:31" x14ac:dyDescent="0.35">
      <c r="B100" t="s">
        <v>64</v>
      </c>
    </row>
    <row r="101" spans="2:31" x14ac:dyDescent="0.35">
      <c r="B101" t="s">
        <v>65</v>
      </c>
      <c r="C101">
        <f>SUM(C93:C97)</f>
        <v>10</v>
      </c>
      <c r="D101">
        <f t="shared" ref="D101:J101" si="6">SUM(D93:D97)</f>
        <v>226</v>
      </c>
      <c r="E101">
        <f t="shared" si="6"/>
        <v>10</v>
      </c>
      <c r="F101">
        <f t="shared" si="6"/>
        <v>1</v>
      </c>
      <c r="G101">
        <f t="shared" si="6"/>
        <v>4</v>
      </c>
      <c r="H101">
        <f t="shared" si="6"/>
        <v>0</v>
      </c>
      <c r="J101">
        <f t="shared" si="6"/>
        <v>12200</v>
      </c>
      <c r="AC101">
        <v>95</v>
      </c>
      <c r="AD101">
        <v>5</v>
      </c>
      <c r="AE101">
        <f>AC101/AD101</f>
        <v>19</v>
      </c>
    </row>
    <row r="102" spans="2:31" x14ac:dyDescent="0.35">
      <c r="B102" t="s">
        <v>66</v>
      </c>
      <c r="C102">
        <f>C101/5</f>
        <v>2</v>
      </c>
      <c r="D102" s="17">
        <f t="shared" ref="D102:J102" si="7">D101/5</f>
        <v>45.2</v>
      </c>
      <c r="E102">
        <f t="shared" si="7"/>
        <v>2</v>
      </c>
      <c r="F102" s="17">
        <f t="shared" si="7"/>
        <v>0.2</v>
      </c>
      <c r="G102" s="17">
        <f t="shared" si="7"/>
        <v>0.8</v>
      </c>
      <c r="H102">
        <f t="shared" si="7"/>
        <v>0</v>
      </c>
      <c r="J102">
        <f t="shared" si="7"/>
        <v>2440</v>
      </c>
      <c r="T102">
        <f>1/5</f>
        <v>0.2</v>
      </c>
    </row>
    <row r="103" spans="2:31" x14ac:dyDescent="0.35">
      <c r="B103" t="s">
        <v>67</v>
      </c>
      <c r="T103">
        <f>T102^2</f>
        <v>4.0000000000000008E-2</v>
      </c>
      <c r="U103">
        <f>T103*5</f>
        <v>0.20000000000000004</v>
      </c>
      <c r="V103">
        <f>SQRT(U103)</f>
        <v>0.44721359549995798</v>
      </c>
    </row>
    <row r="104" spans="2:31" x14ac:dyDescent="0.35">
      <c r="C104" s="7">
        <f>C93-C$102</f>
        <v>1</v>
      </c>
      <c r="D104" s="17">
        <f t="shared" ref="D104:H104" si="8">D93-D$102</f>
        <v>5.7999999999999972</v>
      </c>
      <c r="E104" s="7">
        <f t="shared" si="8"/>
        <v>1</v>
      </c>
      <c r="F104" s="17">
        <f t="shared" si="8"/>
        <v>-0.2</v>
      </c>
      <c r="G104" s="17">
        <f t="shared" si="8"/>
        <v>0.19999999999999996</v>
      </c>
      <c r="H104" s="7">
        <f t="shared" si="8"/>
        <v>0</v>
      </c>
      <c r="J104" s="7">
        <f t="shared" ref="J104" si="9">J93-J$102</f>
        <v>-240</v>
      </c>
      <c r="K104" s="19">
        <f>J104^2</f>
        <v>57600</v>
      </c>
      <c r="L104">
        <f>SQRT(ABS(J104))</f>
        <v>15.491933384829668</v>
      </c>
      <c r="N104" t="s">
        <v>72</v>
      </c>
      <c r="AA104">
        <v>2255</v>
      </c>
    </row>
    <row r="105" spans="2:31" x14ac:dyDescent="0.35">
      <c r="C105" s="7">
        <f t="shared" ref="C105:H105" si="10">C94-C$102</f>
        <v>-1</v>
      </c>
      <c r="D105" s="17">
        <f t="shared" si="10"/>
        <v>-15.200000000000003</v>
      </c>
      <c r="E105" s="7">
        <f t="shared" si="10"/>
        <v>-1</v>
      </c>
      <c r="F105" s="17">
        <f t="shared" si="10"/>
        <v>-0.2</v>
      </c>
      <c r="G105" s="17">
        <f t="shared" si="10"/>
        <v>0.19999999999999996</v>
      </c>
      <c r="H105" s="7">
        <f t="shared" si="10"/>
        <v>0</v>
      </c>
      <c r="J105" s="7">
        <f t="shared" ref="J105" si="11">J94-J$102</f>
        <v>-840</v>
      </c>
      <c r="K105" s="19">
        <f t="shared" ref="K105:K108" si="12">J105^2</f>
        <v>705600</v>
      </c>
      <c r="L105">
        <f t="shared" ref="L105:L108" si="13">SQRT(ABS(J105))</f>
        <v>28.982753492378876</v>
      </c>
      <c r="T105">
        <f>4/5</f>
        <v>0.8</v>
      </c>
      <c r="U105">
        <f>SQRT(T105)</f>
        <v>0.89442719099991586</v>
      </c>
      <c r="X105">
        <f>X106*X107*X108</f>
        <v>1805</v>
      </c>
    </row>
    <row r="106" spans="2:31" x14ac:dyDescent="0.35">
      <c r="C106" s="7">
        <f t="shared" ref="C106:H106" si="14">C95-C$102</f>
        <v>0</v>
      </c>
      <c r="D106" s="17">
        <f t="shared" si="14"/>
        <v>-0.20000000000000284</v>
      </c>
      <c r="E106" s="7">
        <f t="shared" si="14"/>
        <v>0</v>
      </c>
      <c r="F106" s="17">
        <f t="shared" si="14"/>
        <v>-0.2</v>
      </c>
      <c r="G106" s="17">
        <f t="shared" si="14"/>
        <v>0.19999999999999996</v>
      </c>
      <c r="H106" s="7">
        <f t="shared" si="14"/>
        <v>0</v>
      </c>
      <c r="J106" s="7">
        <f t="shared" ref="J106" si="15">J95-J$102</f>
        <v>-540</v>
      </c>
      <c r="K106" s="19">
        <f t="shared" si="12"/>
        <v>291600</v>
      </c>
      <c r="L106">
        <f t="shared" si="13"/>
        <v>23.2379000772445</v>
      </c>
      <c r="N106">
        <v>29</v>
      </c>
      <c r="O106">
        <f>N106^2</f>
        <v>841</v>
      </c>
      <c r="U106">
        <f>U105*2</f>
        <v>1.7888543819998317</v>
      </c>
      <c r="X106">
        <v>5</v>
      </c>
    </row>
    <row r="107" spans="2:31" x14ac:dyDescent="0.35">
      <c r="C107" s="7">
        <f t="shared" ref="C107:H107" si="16">C96-C$102</f>
        <v>1</v>
      </c>
      <c r="D107" s="17">
        <f t="shared" si="16"/>
        <v>9.7999999999999972</v>
      </c>
      <c r="E107" s="7">
        <f t="shared" si="16"/>
        <v>-1</v>
      </c>
      <c r="F107" s="17">
        <f t="shared" si="16"/>
        <v>-0.2</v>
      </c>
      <c r="G107" s="17">
        <f t="shared" si="16"/>
        <v>0.19999999999999996</v>
      </c>
      <c r="H107" s="7">
        <f t="shared" si="16"/>
        <v>0</v>
      </c>
      <c r="J107" s="7">
        <f t="shared" ref="J107" si="17">J96-J$102</f>
        <v>-440</v>
      </c>
      <c r="K107" s="19">
        <f t="shared" si="12"/>
        <v>193600</v>
      </c>
      <c r="L107">
        <f t="shared" si="13"/>
        <v>20.976176963403031</v>
      </c>
      <c r="N107">
        <v>76</v>
      </c>
      <c r="O107">
        <f t="shared" ref="O107:O110" si="18">N107^2</f>
        <v>5776</v>
      </c>
      <c r="S107">
        <f>5*451</f>
        <v>2255</v>
      </c>
      <c r="X107">
        <v>19</v>
      </c>
    </row>
    <row r="108" spans="2:31" x14ac:dyDescent="0.35">
      <c r="C108" s="7">
        <f t="shared" ref="C108:H108" si="19">C97-C$102</f>
        <v>-1</v>
      </c>
      <c r="D108" s="17">
        <f t="shared" si="19"/>
        <v>-0.20000000000000284</v>
      </c>
      <c r="E108" s="7">
        <f t="shared" si="19"/>
        <v>1</v>
      </c>
      <c r="F108" s="17">
        <f t="shared" si="19"/>
        <v>0.8</v>
      </c>
      <c r="G108" s="17">
        <f t="shared" si="19"/>
        <v>-0.8</v>
      </c>
      <c r="H108" s="7">
        <f t="shared" si="19"/>
        <v>0</v>
      </c>
      <c r="J108" s="7">
        <f t="shared" ref="J108" si="20">J97-J$102</f>
        <v>2060</v>
      </c>
      <c r="K108" s="19">
        <f t="shared" si="12"/>
        <v>4243600</v>
      </c>
      <c r="L108">
        <f t="shared" si="13"/>
        <v>45.387222871640866</v>
      </c>
      <c r="N108">
        <v>1</v>
      </c>
      <c r="O108">
        <f t="shared" si="18"/>
        <v>1</v>
      </c>
      <c r="X108">
        <v>19</v>
      </c>
    </row>
    <row r="109" spans="2:31" x14ac:dyDescent="0.35">
      <c r="B109" t="s">
        <v>68</v>
      </c>
      <c r="K109" s="19">
        <f>SUM(K104:K108)</f>
        <v>5492000</v>
      </c>
      <c r="L109">
        <f>SQRT(ABS(K109))</f>
        <v>2343.5016535091245</v>
      </c>
      <c r="N109">
        <v>49</v>
      </c>
      <c r="O109">
        <f t="shared" si="18"/>
        <v>2401</v>
      </c>
      <c r="W109">
        <v>95</v>
      </c>
      <c r="X109">
        <f>W109*W109</f>
        <v>9025</v>
      </c>
      <c r="Z109">
        <f>W109*W109</f>
        <v>9025</v>
      </c>
      <c r="AA109">
        <f>Z109/5</f>
        <v>1805</v>
      </c>
      <c r="AB109">
        <v>1804</v>
      </c>
      <c r="AC109">
        <f>AB109/AA109</f>
        <v>0.99944598337950141</v>
      </c>
      <c r="AD109">
        <f>SQRT(AC109)</f>
        <v>0.99972295331231709</v>
      </c>
    </row>
    <row r="110" spans="2:31" x14ac:dyDescent="0.35">
      <c r="B110" t="s">
        <v>69</v>
      </c>
      <c r="N110">
        <v>1</v>
      </c>
      <c r="O110">
        <f t="shared" si="18"/>
        <v>1</v>
      </c>
      <c r="W110">
        <v>9020</v>
      </c>
      <c r="X110">
        <v>25</v>
      </c>
      <c r="Y110">
        <f>W110/X110</f>
        <v>360.8</v>
      </c>
      <c r="Z110">
        <f>SQRT(Y110)</f>
        <v>18.994736112934024</v>
      </c>
      <c r="AD110">
        <v>19</v>
      </c>
    </row>
    <row r="111" spans="2:31" x14ac:dyDescent="0.35">
      <c r="C111">
        <f>(C104^2+C105^2+C106^2+C107^2+C108^2)^(1/2)</f>
        <v>2</v>
      </c>
      <c r="D111">
        <f t="shared" ref="D111:J111" si="21">(D104^2+D105^2+D106^2+D107^2+D108^2)^(1/2)</f>
        <v>18.994736112934028</v>
      </c>
      <c r="E111">
        <f t="shared" si="21"/>
        <v>2</v>
      </c>
      <c r="F111">
        <f t="shared" si="21"/>
        <v>0.89442719099991597</v>
      </c>
      <c r="G111">
        <f t="shared" si="21"/>
        <v>0.89442719099991586</v>
      </c>
      <c r="H111">
        <f t="shared" si="21"/>
        <v>0</v>
      </c>
      <c r="I111">
        <f t="shared" si="21"/>
        <v>0</v>
      </c>
      <c r="J111">
        <f t="shared" si="21"/>
        <v>2343.5016535091245</v>
      </c>
      <c r="O111">
        <f>SUM(O106:O110)</f>
        <v>9020</v>
      </c>
      <c r="Q111">
        <v>2255</v>
      </c>
      <c r="R111">
        <v>4</v>
      </c>
      <c r="S111">
        <f>R111*Q111</f>
        <v>9020</v>
      </c>
      <c r="Y111">
        <v>441</v>
      </c>
      <c r="Z111">
        <f>SQRT(Y111)</f>
        <v>21</v>
      </c>
      <c r="AD111">
        <f>AD110*AD109</f>
        <v>18.994736112934024</v>
      </c>
    </row>
    <row r="112" spans="2:31" x14ac:dyDescent="0.35">
      <c r="B112" t="s">
        <v>70</v>
      </c>
      <c r="Y112" s="17">
        <f>Y111-Y110</f>
        <v>80.199999999999989</v>
      </c>
      <c r="Z112">
        <f>SQRT(Y112)</f>
        <v>8.9554452708952432</v>
      </c>
    </row>
    <row r="113" spans="3:30" x14ac:dyDescent="0.35">
      <c r="C113" s="18">
        <f>C104/C$111</f>
        <v>0.5</v>
      </c>
      <c r="D113" s="18">
        <f t="shared" ref="D113:J113" si="22">D104/D$111</f>
        <v>0.30534775347842924</v>
      </c>
      <c r="E113" s="18">
        <f t="shared" si="22"/>
        <v>0.5</v>
      </c>
      <c r="F113" s="18">
        <f t="shared" si="22"/>
        <v>-0.22360679774997896</v>
      </c>
      <c r="G113" s="18">
        <f t="shared" si="22"/>
        <v>0.22360679774997894</v>
      </c>
      <c r="H113" s="18"/>
      <c r="I113" s="18"/>
      <c r="J113" s="18">
        <f t="shared" si="22"/>
        <v>-0.10241085157359611</v>
      </c>
    </row>
    <row r="114" spans="3:30" x14ac:dyDescent="0.35">
      <c r="C114" s="18">
        <f t="shared" ref="C114:J117" si="23">C105/C$111</f>
        <v>-0.5</v>
      </c>
      <c r="D114" s="18">
        <f t="shared" si="23"/>
        <v>-0.80022169877105653</v>
      </c>
      <c r="E114" s="18">
        <f t="shared" si="23"/>
        <v>-0.5</v>
      </c>
      <c r="F114" s="18">
        <f t="shared" si="23"/>
        <v>-0.22360679774997896</v>
      </c>
      <c r="G114" s="18">
        <f t="shared" si="23"/>
        <v>0.22360679774997894</v>
      </c>
      <c r="H114" s="18"/>
      <c r="I114" s="18"/>
      <c r="J114" s="18">
        <f t="shared" si="23"/>
        <v>-0.35843798050758635</v>
      </c>
      <c r="O114" t="s">
        <v>71</v>
      </c>
      <c r="Z114">
        <v>4</v>
      </c>
      <c r="AA114">
        <f>1/5</f>
        <v>0.2</v>
      </c>
      <c r="AB114">
        <f>SQRT(AA114)</f>
        <v>0.44721359549995793</v>
      </c>
      <c r="AC114">
        <f>Z114*AB114</f>
        <v>1.7888543819998317</v>
      </c>
    </row>
    <row r="115" spans="3:30" x14ac:dyDescent="0.35">
      <c r="C115" s="18">
        <f t="shared" si="23"/>
        <v>0</v>
      </c>
      <c r="D115" s="18">
        <f t="shared" si="23"/>
        <v>-1.0529232878566681E-2</v>
      </c>
      <c r="E115" s="18">
        <f t="shared" si="23"/>
        <v>0</v>
      </c>
      <c r="F115" s="18">
        <f t="shared" si="23"/>
        <v>-0.22360679774997896</v>
      </c>
      <c r="G115" s="18">
        <f t="shared" si="23"/>
        <v>0.22360679774997894</v>
      </c>
      <c r="H115" s="18"/>
      <c r="I115" s="18"/>
      <c r="J115" s="18">
        <f t="shared" si="23"/>
        <v>-0.23042441604059125</v>
      </c>
      <c r="P115">
        <f>P116</f>
        <v>2255</v>
      </c>
      <c r="S115">
        <f>38^2</f>
        <v>1444</v>
      </c>
      <c r="T115">
        <f>S115-P115</f>
        <v>-811</v>
      </c>
      <c r="U115">
        <f>SQRT(-T115)</f>
        <v>28.478061731796284</v>
      </c>
      <c r="X115">
        <v>4</v>
      </c>
      <c r="Y115">
        <v>5</v>
      </c>
      <c r="Z115">
        <f>X115/Y115</f>
        <v>0.8</v>
      </c>
      <c r="AA115">
        <f>SQRT(Z115)</f>
        <v>0.89442719099991586</v>
      </c>
    </row>
    <row r="116" spans="3:30" x14ac:dyDescent="0.35">
      <c r="C116" s="18">
        <f t="shared" si="23"/>
        <v>0.5</v>
      </c>
      <c r="D116" s="18">
        <f t="shared" si="23"/>
        <v>0.51593241104975984</v>
      </c>
      <c r="E116" s="18">
        <f t="shared" si="23"/>
        <v>-0.5</v>
      </c>
      <c r="F116" s="18">
        <f t="shared" si="23"/>
        <v>-0.22360679774997896</v>
      </c>
      <c r="G116" s="18">
        <f t="shared" si="23"/>
        <v>0.22360679774997894</v>
      </c>
      <c r="H116" s="18"/>
      <c r="I116" s="18"/>
      <c r="J116" s="18">
        <f t="shared" si="23"/>
        <v>-0.18775322788492621</v>
      </c>
      <c r="O116">
        <f>2/5</f>
        <v>0.4</v>
      </c>
      <c r="P116">
        <v>2255</v>
      </c>
      <c r="Q116">
        <f>SQRT(P116)</f>
        <v>47.486840282335066</v>
      </c>
      <c r="S116">
        <f>48^2</f>
        <v>2304</v>
      </c>
      <c r="T116">
        <f>S116-P116</f>
        <v>49</v>
      </c>
      <c r="U116">
        <f>SQRT(T116)</f>
        <v>7</v>
      </c>
      <c r="V116">
        <f>48^2-7^2</f>
        <v>2255</v>
      </c>
      <c r="Y116">
        <f>SQRT(Y115)</f>
        <v>2.2360679774997898</v>
      </c>
      <c r="Z116">
        <f>Y116/5</f>
        <v>0.44721359549995798</v>
      </c>
    </row>
    <row r="117" spans="3:30" x14ac:dyDescent="0.35">
      <c r="C117" s="18">
        <f t="shared" si="23"/>
        <v>-0.5</v>
      </c>
      <c r="D117" s="18">
        <f t="shared" si="23"/>
        <v>-1.0529232878566681E-2</v>
      </c>
      <c r="E117" s="18">
        <f t="shared" si="23"/>
        <v>0.5</v>
      </c>
      <c r="F117" s="18">
        <f t="shared" si="23"/>
        <v>0.89442719099991586</v>
      </c>
      <c r="G117" s="18">
        <f t="shared" si="23"/>
        <v>-0.89442719099991597</v>
      </c>
      <c r="H117" s="18"/>
      <c r="I117" s="18"/>
      <c r="J117" s="18">
        <f t="shared" si="23"/>
        <v>0.87902647600669992</v>
      </c>
      <c r="Q117">
        <f>Q116*2/5</f>
        <v>18.994736112934028</v>
      </c>
      <c r="T117">
        <f>S116-T116</f>
        <v>2255</v>
      </c>
      <c r="X117">
        <f>T117*4</f>
        <v>9020</v>
      </c>
      <c r="Y117">
        <f>SQRT(X117)</f>
        <v>94.973680564670133</v>
      </c>
      <c r="AA117">
        <v>96</v>
      </c>
      <c r="AB117">
        <f>AA117^2</f>
        <v>9216</v>
      </c>
      <c r="AC117">
        <f>AB117-X117</f>
        <v>196</v>
      </c>
      <c r="AD117">
        <f>SQRT(AC117)</f>
        <v>14</v>
      </c>
    </row>
    <row r="119" spans="3:30" x14ac:dyDescent="0.35">
      <c r="AA119" t="s">
        <v>73</v>
      </c>
      <c r="AB119">
        <f>90-14</f>
        <v>76</v>
      </c>
      <c r="AC119">
        <f>SQRT(AB119)</f>
        <v>8.717797887081348</v>
      </c>
    </row>
    <row r="120" spans="3:30" x14ac:dyDescent="0.35">
      <c r="M120">
        <f>51/5</f>
        <v>10.199999999999999</v>
      </c>
      <c r="O120">
        <v>45.2</v>
      </c>
      <c r="P120">
        <f>O120/5</f>
        <v>9.0400000000000009</v>
      </c>
      <c r="R120">
        <f>9*25</f>
        <v>225</v>
      </c>
      <c r="S120">
        <v>25</v>
      </c>
      <c r="T120">
        <f>R120/S120</f>
        <v>9</v>
      </c>
      <c r="V120">
        <v>2</v>
      </c>
      <c r="W120">
        <f>4/5</f>
        <v>0.8</v>
      </c>
      <c r="X120">
        <f>SQRT(W120)</f>
        <v>0.89442719099991586</v>
      </c>
      <c r="Y120">
        <f>X120*V120</f>
        <v>1.7888543819998317</v>
      </c>
      <c r="AA120" t="s">
        <v>74</v>
      </c>
      <c r="AB120">
        <f>90+14</f>
        <v>104</v>
      </c>
      <c r="AC120">
        <f>SQRT(AB120)</f>
        <v>10.198039027185569</v>
      </c>
    </row>
    <row r="122" spans="3:30" x14ac:dyDescent="0.35">
      <c r="I122">
        <v>2</v>
      </c>
    </row>
    <row r="123" spans="3:30" x14ac:dyDescent="0.35">
      <c r="I123">
        <v>5</v>
      </c>
      <c r="S123">
        <f>R120/5</f>
        <v>45</v>
      </c>
    </row>
    <row r="124" spans="3:30" x14ac:dyDescent="0.35">
      <c r="I124">
        <v>10</v>
      </c>
      <c r="J124">
        <v>2</v>
      </c>
      <c r="L124">
        <v>2</v>
      </c>
    </row>
    <row r="125" spans="3:30" x14ac:dyDescent="0.35">
      <c r="G125">
        <v>-240</v>
      </c>
      <c r="H125">
        <f>ABS(G125)</f>
        <v>240</v>
      </c>
      <c r="I125">
        <f>$H125/I$124</f>
        <v>24</v>
      </c>
      <c r="J125">
        <f>$I125/J$124</f>
        <v>12</v>
      </c>
      <c r="K125">
        <f>J125^2</f>
        <v>144</v>
      </c>
      <c r="L125">
        <f>J125/L$124</f>
        <v>6</v>
      </c>
      <c r="N125">
        <f>2^4*3*5</f>
        <v>240</v>
      </c>
      <c r="O125" s="8" t="s">
        <v>75</v>
      </c>
      <c r="Q125">
        <f>H125/10/2</f>
        <v>12</v>
      </c>
      <c r="R125">
        <f>Q125^2</f>
        <v>144</v>
      </c>
    </row>
    <row r="126" spans="3:30" x14ac:dyDescent="0.35">
      <c r="G126">
        <v>-840</v>
      </c>
      <c r="H126">
        <f t="shared" ref="H126:H129" si="24">ABS(G126)</f>
        <v>840</v>
      </c>
      <c r="I126">
        <f t="shared" ref="I126:I129" si="25">$H126/I$124</f>
        <v>84</v>
      </c>
      <c r="J126">
        <f t="shared" ref="J126:J129" si="26">$I126/J$124</f>
        <v>42</v>
      </c>
      <c r="K126">
        <f t="shared" ref="K126:K129" si="27">J126^2</f>
        <v>1764</v>
      </c>
      <c r="L126">
        <f>J126/L$124</f>
        <v>21</v>
      </c>
      <c r="N126">
        <f>7*5*3*2^3</f>
        <v>840</v>
      </c>
      <c r="O126" s="8" t="s">
        <v>76</v>
      </c>
      <c r="Q126">
        <f>H126/10/2</f>
        <v>42</v>
      </c>
      <c r="R126">
        <f t="shared" ref="R126:R129" si="28">Q126^2</f>
        <v>1764</v>
      </c>
    </row>
    <row r="127" spans="3:30" x14ac:dyDescent="0.35">
      <c r="G127">
        <v>-540</v>
      </c>
      <c r="H127">
        <f t="shared" si="24"/>
        <v>540</v>
      </c>
      <c r="I127">
        <f t="shared" si="25"/>
        <v>54</v>
      </c>
      <c r="J127">
        <f t="shared" si="26"/>
        <v>27</v>
      </c>
      <c r="K127">
        <f t="shared" si="27"/>
        <v>729</v>
      </c>
      <c r="N127">
        <f>5*3^3*2^2</f>
        <v>540</v>
      </c>
      <c r="O127" s="8" t="s">
        <v>77</v>
      </c>
      <c r="Q127">
        <f>H127/10/2</f>
        <v>27</v>
      </c>
      <c r="R127">
        <f t="shared" si="28"/>
        <v>729</v>
      </c>
    </row>
    <row r="128" spans="3:30" x14ac:dyDescent="0.35">
      <c r="G128">
        <v>-440</v>
      </c>
      <c r="H128">
        <f t="shared" si="24"/>
        <v>440</v>
      </c>
      <c r="I128">
        <f t="shared" si="25"/>
        <v>44</v>
      </c>
      <c r="J128">
        <f t="shared" si="26"/>
        <v>22</v>
      </c>
      <c r="K128">
        <f t="shared" si="27"/>
        <v>484</v>
      </c>
      <c r="L128">
        <f>J128/L$124</f>
        <v>11</v>
      </c>
      <c r="N128">
        <f>11*5*2^3</f>
        <v>440</v>
      </c>
      <c r="O128" s="8" t="s">
        <v>78</v>
      </c>
      <c r="Q128">
        <f>H128/10/2</f>
        <v>22</v>
      </c>
      <c r="R128">
        <f t="shared" si="28"/>
        <v>484</v>
      </c>
    </row>
    <row r="129" spans="6:25" x14ac:dyDescent="0.35">
      <c r="G129">
        <v>2060</v>
      </c>
      <c r="H129">
        <f t="shared" si="24"/>
        <v>2060</v>
      </c>
      <c r="I129">
        <f t="shared" si="25"/>
        <v>206</v>
      </c>
      <c r="J129">
        <f t="shared" si="26"/>
        <v>103</v>
      </c>
      <c r="K129">
        <f t="shared" si="27"/>
        <v>10609</v>
      </c>
      <c r="N129">
        <f>103*5*2^2</f>
        <v>2060</v>
      </c>
      <c r="O129" s="8" t="s">
        <v>79</v>
      </c>
      <c r="Q129">
        <f>H129/10/2</f>
        <v>103</v>
      </c>
      <c r="R129">
        <f t="shared" si="28"/>
        <v>10609</v>
      </c>
    </row>
    <row r="130" spans="6:25" x14ac:dyDescent="0.35">
      <c r="X130">
        <v>2</v>
      </c>
      <c r="Y130">
        <f>SQRT(X130)</f>
        <v>1.4142135623730951</v>
      </c>
    </row>
    <row r="131" spans="6:25" x14ac:dyDescent="0.35">
      <c r="K131">
        <f>SUM(K125:K130)</f>
        <v>13730</v>
      </c>
      <c r="Q131">
        <f>SUM(Q125:Q130)</f>
        <v>206</v>
      </c>
      <c r="R131">
        <f>SUM(R125:R130)</f>
        <v>13730</v>
      </c>
      <c r="X131">
        <v>3</v>
      </c>
      <c r="Y131">
        <f>SQRT(X131)</f>
        <v>1.7320508075688772</v>
      </c>
    </row>
    <row r="132" spans="6:25" x14ac:dyDescent="0.35">
      <c r="K132">
        <f>SQRT(K131)</f>
        <v>117.17508267545622</v>
      </c>
      <c r="S132">
        <f>2*5*1373</f>
        <v>13730</v>
      </c>
      <c r="T132">
        <f>SQRT(S132)</f>
        <v>117.17508267545622</v>
      </c>
    </row>
    <row r="133" spans="6:25" x14ac:dyDescent="0.35">
      <c r="X133">
        <f>X130/X131</f>
        <v>0.66666666666666663</v>
      </c>
      <c r="Y133">
        <f>Y130/Y131</f>
        <v>0.81649658092772615</v>
      </c>
    </row>
    <row r="134" spans="6:25" x14ac:dyDescent="0.35">
      <c r="G134">
        <f>H134*I134</f>
        <v>117</v>
      </c>
      <c r="H134">
        <v>13</v>
      </c>
      <c r="I134">
        <f>J134/13</f>
        <v>9</v>
      </c>
      <c r="J134">
        <v>117</v>
      </c>
      <c r="K134">
        <f>J134^2</f>
        <v>13689</v>
      </c>
      <c r="L134">
        <v>41</v>
      </c>
      <c r="M134">
        <f>L134+K134</f>
        <v>13730</v>
      </c>
      <c r="N134">
        <f>M134/K134</f>
        <v>1.0029951055592081</v>
      </c>
      <c r="O134">
        <f>SQRT(N134)</f>
        <v>1.0014964331235574</v>
      </c>
      <c r="P134">
        <v>2340</v>
      </c>
      <c r="Q134">
        <f>P134*O134</f>
        <v>2343.5016535091245</v>
      </c>
      <c r="X134">
        <f>SQRT(X133)</f>
        <v>0.81649658092772603</v>
      </c>
    </row>
    <row r="135" spans="6:25" x14ac:dyDescent="0.35">
      <c r="J135">
        <f>J134*20</f>
        <v>2340</v>
      </c>
      <c r="K135">
        <f>K134-K131</f>
        <v>-41</v>
      </c>
    </row>
    <row r="137" spans="6:25" x14ac:dyDescent="0.35">
      <c r="I137">
        <f>J137/2</f>
        <v>59</v>
      </c>
      <c r="J137">
        <v>118</v>
      </c>
      <c r="K137">
        <f>J137^2</f>
        <v>13924</v>
      </c>
      <c r="L137">
        <f>K137-K131</f>
        <v>194</v>
      </c>
      <c r="M137">
        <f>L137/2</f>
        <v>97</v>
      </c>
      <c r="N137">
        <f>M137/7</f>
        <v>13.857142857142858</v>
      </c>
    </row>
    <row r="138" spans="6:25" x14ac:dyDescent="0.35">
      <c r="J138">
        <f>J137*20</f>
        <v>2360</v>
      </c>
    </row>
    <row r="141" spans="6:25" x14ac:dyDescent="0.35">
      <c r="F141">
        <v>19</v>
      </c>
      <c r="G141">
        <v>1804</v>
      </c>
      <c r="I141">
        <f>SQRT(G141/G142)*F141</f>
        <v>18.994736112934024</v>
      </c>
      <c r="K141">
        <v>9020</v>
      </c>
      <c r="L141">
        <f>SQRT(K141)</f>
        <v>94.973680564670133</v>
      </c>
    </row>
    <row r="142" spans="6:25" x14ac:dyDescent="0.35">
      <c r="G142">
        <v>1805</v>
      </c>
      <c r="K142">
        <v>25</v>
      </c>
      <c r="O142">
        <f>2 * 5 * 7 * 7 * 7 * 7</f>
        <v>24010</v>
      </c>
    </row>
    <row r="143" spans="6:25" x14ac:dyDescent="0.35">
      <c r="K143">
        <f>K141/K142</f>
        <v>360.8</v>
      </c>
    </row>
    <row r="144" spans="6:25" x14ac:dyDescent="0.35">
      <c r="N144">
        <v>7</v>
      </c>
      <c r="O144">
        <f>N144^2</f>
        <v>49</v>
      </c>
      <c r="P144">
        <f>O144^2</f>
        <v>2401</v>
      </c>
    </row>
    <row r="150" spans="4:8" x14ac:dyDescent="0.35">
      <c r="E150">
        <v>2</v>
      </c>
    </row>
    <row r="151" spans="4:8" x14ac:dyDescent="0.35">
      <c r="E151">
        <v>5</v>
      </c>
      <c r="F151">
        <f>SQRT(E151)</f>
        <v>2.2360679774997898</v>
      </c>
    </row>
    <row r="152" spans="4:8" x14ac:dyDescent="0.35">
      <c r="E152">
        <f>E150/E151</f>
        <v>0.4</v>
      </c>
      <c r="F152">
        <f>E152*F151</f>
        <v>0.89442719099991597</v>
      </c>
    </row>
    <row r="153" spans="4:8" x14ac:dyDescent="0.35">
      <c r="D153">
        <v>4</v>
      </c>
    </row>
    <row r="154" spans="4:8" x14ac:dyDescent="0.35">
      <c r="D154">
        <v>5</v>
      </c>
    </row>
    <row r="155" spans="4:8" x14ac:dyDescent="0.35">
      <c r="D155">
        <f>D153/D154</f>
        <v>0.8</v>
      </c>
    </row>
    <row r="156" spans="4:8" x14ac:dyDescent="0.35">
      <c r="D156">
        <f>SQRT(D155)</f>
        <v>0.89442719099991586</v>
      </c>
      <c r="F156">
        <v>20</v>
      </c>
    </row>
    <row r="157" spans="4:8" x14ac:dyDescent="0.35">
      <c r="F157">
        <f>SQRT(F156)</f>
        <v>4.4721359549995796</v>
      </c>
      <c r="H157">
        <v>1</v>
      </c>
    </row>
    <row r="158" spans="4:8" x14ac:dyDescent="0.35">
      <c r="H158">
        <f>H157/F157</f>
        <v>0.22360679774997896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156B-4495-4400-8873-A45B82A27CF2}">
  <dimension ref="B1:L28"/>
  <sheetViews>
    <sheetView topLeftCell="A6" workbookViewId="0">
      <selection activeCell="C26" sqref="C26"/>
    </sheetView>
  </sheetViews>
  <sheetFormatPr defaultRowHeight="14.5" x14ac:dyDescent="0.35"/>
  <sheetData>
    <row r="1" spans="2:12" x14ac:dyDescent="0.35">
      <c r="B1" t="s">
        <v>92</v>
      </c>
      <c r="C1" t="s">
        <v>1</v>
      </c>
      <c r="D1" t="s">
        <v>2</v>
      </c>
      <c r="E1" t="s">
        <v>3</v>
      </c>
      <c r="F1" t="s">
        <v>7</v>
      </c>
      <c r="L1" t="s">
        <v>93</v>
      </c>
    </row>
    <row r="2" spans="2:12" x14ac:dyDescent="0.35">
      <c r="D2" s="16"/>
      <c r="E2" s="16"/>
      <c r="F2" s="9"/>
    </row>
    <row r="3" spans="2:12" x14ac:dyDescent="0.35">
      <c r="C3" s="7">
        <v>3</v>
      </c>
      <c r="D3" s="7">
        <v>51</v>
      </c>
      <c r="E3" s="7">
        <v>3</v>
      </c>
      <c r="F3" s="7">
        <v>2200</v>
      </c>
      <c r="H3" s="7">
        <v>1</v>
      </c>
      <c r="I3" s="7">
        <v>45</v>
      </c>
      <c r="J3" s="7">
        <v>3</v>
      </c>
      <c r="K3" s="7">
        <v>4500</v>
      </c>
    </row>
    <row r="4" spans="2:12" x14ac:dyDescent="0.35">
      <c r="C4" s="7">
        <v>1</v>
      </c>
      <c r="D4" s="7">
        <v>30</v>
      </c>
      <c r="E4" s="7">
        <v>1</v>
      </c>
      <c r="F4" s="7">
        <v>1600</v>
      </c>
    </row>
    <row r="5" spans="2:12" x14ac:dyDescent="0.35">
      <c r="C5" s="7">
        <v>2</v>
      </c>
      <c r="D5" s="7">
        <v>45</v>
      </c>
      <c r="E5" s="7">
        <v>2</v>
      </c>
      <c r="F5" s="7">
        <v>1900</v>
      </c>
    </row>
    <row r="6" spans="2:12" x14ac:dyDescent="0.35">
      <c r="C6" s="7">
        <v>3</v>
      </c>
      <c r="D6" s="7">
        <v>55</v>
      </c>
      <c r="E6" s="7">
        <v>1</v>
      </c>
      <c r="F6" s="7">
        <v>2000</v>
      </c>
    </row>
    <row r="8" spans="2:12" x14ac:dyDescent="0.35">
      <c r="B8" t="s">
        <v>87</v>
      </c>
      <c r="C8">
        <f>AVERAGE(C3:C6)</f>
        <v>2.25</v>
      </c>
      <c r="D8">
        <f t="shared" ref="D8:F8" si="0">AVERAGE(D3:D6)</f>
        <v>45.25</v>
      </c>
      <c r="E8">
        <f t="shared" si="0"/>
        <v>1.75</v>
      </c>
      <c r="F8">
        <f t="shared" si="0"/>
        <v>1925</v>
      </c>
      <c r="H8">
        <f>AVERAGE(H3:H6)</f>
        <v>1</v>
      </c>
      <c r="I8">
        <f t="shared" ref="I8:K8" si="1">AVERAGE(I3:I6)</f>
        <v>45</v>
      </c>
      <c r="J8">
        <f t="shared" si="1"/>
        <v>3</v>
      </c>
      <c r="K8">
        <f t="shared" si="1"/>
        <v>4500</v>
      </c>
    </row>
    <row r="10" spans="2:12" x14ac:dyDescent="0.35">
      <c r="B10" t="s">
        <v>88</v>
      </c>
      <c r="C10">
        <f>C3-C$8</f>
        <v>0.75</v>
      </c>
      <c r="D10">
        <f t="shared" ref="D10:F10" si="2">D3-D$8</f>
        <v>5.75</v>
      </c>
      <c r="E10">
        <f t="shared" si="2"/>
        <v>1.25</v>
      </c>
      <c r="F10">
        <f t="shared" si="2"/>
        <v>275</v>
      </c>
      <c r="H10">
        <f>H3-H$8</f>
        <v>0</v>
      </c>
      <c r="I10">
        <f t="shared" ref="I10:K10" si="3">I3-I$8</f>
        <v>0</v>
      </c>
      <c r="J10">
        <f t="shared" si="3"/>
        <v>0</v>
      </c>
      <c r="K10">
        <f t="shared" si="3"/>
        <v>0</v>
      </c>
    </row>
    <row r="11" spans="2:12" x14ac:dyDescent="0.35">
      <c r="C11">
        <f t="shared" ref="C11:F11" si="4">C4-C$8</f>
        <v>-1.25</v>
      </c>
      <c r="D11">
        <f t="shared" si="4"/>
        <v>-15.25</v>
      </c>
      <c r="E11">
        <f t="shared" si="4"/>
        <v>-0.75</v>
      </c>
      <c r="F11">
        <f t="shared" si="4"/>
        <v>-325</v>
      </c>
    </row>
    <row r="12" spans="2:12" x14ac:dyDescent="0.35">
      <c r="C12">
        <f t="shared" ref="C12:F12" si="5">C5-C$8</f>
        <v>-0.25</v>
      </c>
      <c r="D12">
        <f t="shared" si="5"/>
        <v>-0.25</v>
      </c>
      <c r="E12">
        <f t="shared" si="5"/>
        <v>0.25</v>
      </c>
      <c r="F12">
        <f t="shared" si="5"/>
        <v>-25</v>
      </c>
    </row>
    <row r="13" spans="2:12" x14ac:dyDescent="0.35">
      <c r="C13">
        <f t="shared" ref="C13:F13" si="6">C6-C$8</f>
        <v>0.75</v>
      </c>
      <c r="D13">
        <f t="shared" si="6"/>
        <v>9.75</v>
      </c>
      <c r="E13">
        <f t="shared" si="6"/>
        <v>-0.75</v>
      </c>
      <c r="F13">
        <f t="shared" si="6"/>
        <v>75</v>
      </c>
    </row>
    <row r="15" spans="2:12" x14ac:dyDescent="0.35">
      <c r="C15">
        <f>C10^2</f>
        <v>0.5625</v>
      </c>
      <c r="D15">
        <f t="shared" ref="D15:F15" si="7">D10^2</f>
        <v>33.0625</v>
      </c>
      <c r="E15">
        <f t="shared" si="7"/>
        <v>1.5625</v>
      </c>
      <c r="F15">
        <f t="shared" si="7"/>
        <v>75625</v>
      </c>
      <c r="H15">
        <f>H10^2</f>
        <v>0</v>
      </c>
      <c r="I15">
        <f t="shared" ref="I15:K15" si="8">I10^2</f>
        <v>0</v>
      </c>
      <c r="J15">
        <f t="shared" si="8"/>
        <v>0</v>
      </c>
      <c r="K15">
        <f t="shared" si="8"/>
        <v>0</v>
      </c>
    </row>
    <row r="16" spans="2:12" x14ac:dyDescent="0.35">
      <c r="C16">
        <f t="shared" ref="C16:F16" si="9">C11^2</f>
        <v>1.5625</v>
      </c>
      <c r="D16">
        <f t="shared" si="9"/>
        <v>232.5625</v>
      </c>
      <c r="E16">
        <f t="shared" si="9"/>
        <v>0.5625</v>
      </c>
      <c r="F16">
        <f t="shared" si="9"/>
        <v>105625</v>
      </c>
    </row>
    <row r="17" spans="2:11" x14ac:dyDescent="0.35">
      <c r="C17">
        <f t="shared" ref="C17:F17" si="10">C12^2</f>
        <v>6.25E-2</v>
      </c>
      <c r="D17">
        <f t="shared" si="10"/>
        <v>6.25E-2</v>
      </c>
      <c r="E17">
        <f t="shared" si="10"/>
        <v>6.25E-2</v>
      </c>
      <c r="F17">
        <f t="shared" si="10"/>
        <v>625</v>
      </c>
    </row>
    <row r="18" spans="2:11" x14ac:dyDescent="0.35">
      <c r="C18">
        <f t="shared" ref="C18:F18" si="11">C13^2</f>
        <v>0.5625</v>
      </c>
      <c r="D18">
        <f t="shared" si="11"/>
        <v>95.0625</v>
      </c>
      <c r="E18">
        <f t="shared" si="11"/>
        <v>0.5625</v>
      </c>
      <c r="F18">
        <f t="shared" si="11"/>
        <v>5625</v>
      </c>
    </row>
    <row r="20" spans="2:11" x14ac:dyDescent="0.35">
      <c r="C20">
        <f>SUM(C15:C19)</f>
        <v>2.75</v>
      </c>
      <c r="D20">
        <f t="shared" ref="D20:F20" si="12">SUM(D15:D19)</f>
        <v>360.75</v>
      </c>
      <c r="E20">
        <f t="shared" si="12"/>
        <v>2.75</v>
      </c>
      <c r="F20">
        <f t="shared" si="12"/>
        <v>187500</v>
      </c>
    </row>
    <row r="21" spans="2:11" x14ac:dyDescent="0.35">
      <c r="B21" t="s">
        <v>89</v>
      </c>
      <c r="C21">
        <f>SQRT(C20)</f>
        <v>1.6583123951776999</v>
      </c>
      <c r="D21">
        <f t="shared" ref="D21:F21" si="13">SQRT(D20)</f>
        <v>18.993419913222578</v>
      </c>
      <c r="E21">
        <f t="shared" si="13"/>
        <v>1.6583123951776999</v>
      </c>
      <c r="F21">
        <f t="shared" si="13"/>
        <v>433.0127018922193</v>
      </c>
    </row>
    <row r="23" spans="2:11" x14ac:dyDescent="0.35">
      <c r="B23" t="s">
        <v>90</v>
      </c>
      <c r="C23" s="32">
        <f>C10/C$21</f>
        <v>0.45226701686664544</v>
      </c>
      <c r="D23" s="32">
        <f t="shared" ref="D23:F23" si="14">D10/D$21</f>
        <v>0.30273642273327744</v>
      </c>
      <c r="E23" s="32">
        <f t="shared" si="14"/>
        <v>0.75377836144440902</v>
      </c>
      <c r="F23" s="32">
        <f t="shared" si="14"/>
        <v>0.63508529610858833</v>
      </c>
      <c r="G23" s="32"/>
      <c r="H23" s="32">
        <f>C23*$F23</f>
        <v>0.28722813232690142</v>
      </c>
      <c r="I23" s="32">
        <f t="shared" ref="I23:K23" si="15">D23*$F23</f>
        <v>0.19226345067441827</v>
      </c>
      <c r="J23" s="32">
        <f t="shared" si="15"/>
        <v>0.478713553878169</v>
      </c>
      <c r="K23" s="32">
        <f t="shared" si="15"/>
        <v>0.40333333333333332</v>
      </c>
    </row>
    <row r="24" spans="2:11" x14ac:dyDescent="0.35">
      <c r="C24" s="32">
        <f t="shared" ref="C24:F26" si="16">C11/C$21</f>
        <v>-0.75377836144440902</v>
      </c>
      <c r="D24" s="32">
        <f t="shared" si="16"/>
        <v>-0.80290964290130107</v>
      </c>
      <c r="E24" s="32">
        <f t="shared" si="16"/>
        <v>-0.45226701686664544</v>
      </c>
      <c r="F24" s="32">
        <f t="shared" si="16"/>
        <v>-0.75055534994651352</v>
      </c>
      <c r="G24" s="32"/>
      <c r="H24" s="32">
        <f t="shared" ref="H24:H26" si="17">C24*$F24</f>
        <v>0.56575238185601795</v>
      </c>
      <c r="I24" s="32">
        <f t="shared" ref="I24:I26" si="18">D24*$F24</f>
        <v>0.60262812800321619</v>
      </c>
      <c r="J24" s="32">
        <f t="shared" ref="J24:J26" si="19">E24*$F24</f>
        <v>0.33945142911361081</v>
      </c>
      <c r="K24" s="32">
        <f t="shared" ref="K24:K26" si="20">F24*$F24</f>
        <v>0.56333333333333335</v>
      </c>
    </row>
    <row r="25" spans="2:11" x14ac:dyDescent="0.35">
      <c r="C25" s="32">
        <f t="shared" si="16"/>
        <v>-0.15075567228888181</v>
      </c>
      <c r="D25" s="32">
        <f t="shared" si="16"/>
        <v>-1.316245316231641E-2</v>
      </c>
      <c r="E25" s="32">
        <f t="shared" si="16"/>
        <v>0.15075567228888181</v>
      </c>
      <c r="F25" s="32">
        <f t="shared" si="16"/>
        <v>-5.7735026918962581E-2</v>
      </c>
      <c r="G25" s="32"/>
      <c r="H25" s="32">
        <f t="shared" si="17"/>
        <v>8.7038827977848933E-3</v>
      </c>
      <c r="I25" s="32">
        <f t="shared" si="18"/>
        <v>7.5993458764592203E-4</v>
      </c>
      <c r="J25" s="32">
        <f t="shared" si="19"/>
        <v>-8.7038827977848933E-3</v>
      </c>
      <c r="K25" s="32">
        <f t="shared" si="20"/>
        <v>3.333333333333334E-3</v>
      </c>
    </row>
    <row r="26" spans="2:11" x14ac:dyDescent="0.35">
      <c r="C26" s="32">
        <f t="shared" si="16"/>
        <v>0.45226701686664544</v>
      </c>
      <c r="D26" s="32">
        <f t="shared" si="16"/>
        <v>0.51333567333034003</v>
      </c>
      <c r="E26" s="32">
        <f t="shared" si="16"/>
        <v>-0.45226701686664544</v>
      </c>
      <c r="F26" s="32">
        <f t="shared" si="16"/>
        <v>0.17320508075688773</v>
      </c>
      <c r="G26" s="32"/>
      <c r="H26" s="32">
        <f t="shared" si="17"/>
        <v>7.8334945180064036E-2</v>
      </c>
      <c r="I26" s="32">
        <f t="shared" si="18"/>
        <v>8.891234675457288E-2</v>
      </c>
      <c r="J26" s="32">
        <f t="shared" si="19"/>
        <v>-7.8334945180064036E-2</v>
      </c>
      <c r="K26" s="32">
        <f t="shared" si="20"/>
        <v>0.03</v>
      </c>
    </row>
    <row r="27" spans="2:11" x14ac:dyDescent="0.35">
      <c r="C27" s="32"/>
      <c r="D27" s="32"/>
      <c r="E27" s="32"/>
      <c r="F27" s="32"/>
      <c r="G27" s="32"/>
      <c r="H27" s="32"/>
      <c r="I27" s="32"/>
      <c r="J27" s="32"/>
      <c r="K27" s="32"/>
    </row>
    <row r="28" spans="2:11" x14ac:dyDescent="0.35">
      <c r="B28" t="s">
        <v>91</v>
      </c>
      <c r="C28" s="32">
        <f>SUM(C23:C27)</f>
        <v>0</v>
      </c>
      <c r="D28" s="32">
        <f t="shared" ref="D28:F28" si="21">SUM(D23:D27)</f>
        <v>0</v>
      </c>
      <c r="E28" s="32">
        <f t="shared" si="21"/>
        <v>0</v>
      </c>
      <c r="F28" s="32">
        <f t="shared" si="21"/>
        <v>0</v>
      </c>
      <c r="G28" s="32"/>
      <c r="H28" s="32">
        <f t="shared" ref="H28" si="22">SUM(H23:H27)</f>
        <v>0.94001934216076832</v>
      </c>
      <c r="I28" s="32">
        <f t="shared" ref="I28" si="23">SUM(I23:I27)</f>
        <v>0.88456386001985332</v>
      </c>
      <c r="J28" s="32">
        <f t="shared" ref="J28" si="24">SUM(J23:J27)</f>
        <v>0.73112615501393097</v>
      </c>
      <c r="K28" s="32">
        <f t="shared" ref="K28" si="25">SUM(K23:K27)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opLeftCell="C36" workbookViewId="0">
      <selection activeCell="H72" sqref="H72"/>
    </sheetView>
  </sheetViews>
  <sheetFormatPr defaultRowHeight="14.5" x14ac:dyDescent="0.35"/>
  <sheetData>
    <row r="3" spans="1:7" x14ac:dyDescent="0.3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3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35">
      <c r="B13">
        <f t="shared" ref="B13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35">
      <c r="B14">
        <f t="shared" ref="B14:B15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3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3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3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3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3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3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3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3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3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3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3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3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3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3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3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3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3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3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3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3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3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3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3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3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3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3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3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3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3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3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80</v>
      </c>
    </row>
    <row r="45" spans="2:15" x14ac:dyDescent="0.3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3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3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3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3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3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3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3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3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3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3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3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3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3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35">
      <c r="F60">
        <v>8</v>
      </c>
    </row>
    <row r="61" spans="2:10" x14ac:dyDescent="0.35">
      <c r="F61">
        <f>SQRT(F60)</f>
        <v>2.8284271247461903</v>
      </c>
    </row>
    <row r="66" spans="6:10" x14ac:dyDescent="0.35">
      <c r="G66">
        <v>4</v>
      </c>
    </row>
    <row r="67" spans="6:10" x14ac:dyDescent="0.35">
      <c r="G67">
        <v>5</v>
      </c>
    </row>
    <row r="68" spans="6:10" x14ac:dyDescent="0.3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3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35">
      <c r="F71">
        <v>80</v>
      </c>
    </row>
    <row r="72" spans="6:10" x14ac:dyDescent="0.3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3844-AF00-4659-9CA6-FDAA4D3C4028}">
  <dimension ref="A2:T83"/>
  <sheetViews>
    <sheetView workbookViewId="0">
      <selection activeCell="J77" sqref="J77"/>
    </sheetView>
  </sheetViews>
  <sheetFormatPr defaultRowHeight="14.5" x14ac:dyDescent="0.35"/>
  <sheetData>
    <row r="2" spans="1:19" x14ac:dyDescent="0.35">
      <c r="K2">
        <v>4</v>
      </c>
    </row>
    <row r="3" spans="1:19" x14ac:dyDescent="0.35">
      <c r="K3">
        <v>5</v>
      </c>
    </row>
    <row r="4" spans="1:19" x14ac:dyDescent="0.35">
      <c r="K4">
        <f>K2/K3</f>
        <v>0.8</v>
      </c>
    </row>
    <row r="5" spans="1:19" x14ac:dyDescent="0.35">
      <c r="J5">
        <v>2</v>
      </c>
      <c r="K5">
        <f>SQRT(K4)</f>
        <v>0.89442719099991586</v>
      </c>
    </row>
    <row r="6" spans="1:19" x14ac:dyDescent="0.35">
      <c r="J6">
        <v>1</v>
      </c>
      <c r="K6">
        <f>K5*J5</f>
        <v>1.7888543819998317</v>
      </c>
    </row>
    <row r="7" spans="1:19" x14ac:dyDescent="0.35">
      <c r="E7">
        <v>1</v>
      </c>
      <c r="J7">
        <f>K4</f>
        <v>0.8</v>
      </c>
      <c r="K7">
        <f>J6/K6</f>
        <v>0.55901699437494745</v>
      </c>
      <c r="Q7">
        <v>1</v>
      </c>
    </row>
    <row r="8" spans="1:19" x14ac:dyDescent="0.35">
      <c r="E8">
        <v>1804</v>
      </c>
      <c r="K8">
        <f>K7*J7</f>
        <v>0.44721359549995798</v>
      </c>
      <c r="Q8">
        <v>117</v>
      </c>
    </row>
    <row r="9" spans="1:19" x14ac:dyDescent="0.35">
      <c r="B9" t="str">
        <f>C17</f>
        <v>x_1</v>
      </c>
      <c r="E9">
        <v>1805</v>
      </c>
      <c r="F9" t="str">
        <f>D17</f>
        <v>x_2</v>
      </c>
      <c r="I9" t="str">
        <f>E17</f>
        <v>x_3</v>
      </c>
      <c r="L9" t="str">
        <f>F17</f>
        <v>x_4</v>
      </c>
      <c r="O9" t="str">
        <f>G17</f>
        <v>x_5</v>
      </c>
      <c r="Q9">
        <v>13730</v>
      </c>
      <c r="R9" t="str">
        <f>H17</f>
        <v>y</v>
      </c>
    </row>
    <row r="10" spans="1:19" x14ac:dyDescent="0.35">
      <c r="E10">
        <f>SQRT(E8/E9)</f>
        <v>0.99972295331231709</v>
      </c>
      <c r="K10">
        <v>1</v>
      </c>
      <c r="N10">
        <v>1</v>
      </c>
      <c r="Q10">
        <v>13689</v>
      </c>
    </row>
    <row r="11" spans="1:19" x14ac:dyDescent="0.35">
      <c r="A11">
        <v>1</v>
      </c>
      <c r="B11" s="7">
        <v>1</v>
      </c>
      <c r="C11" s="23">
        <f>B11*A$13</f>
        <v>0.5</v>
      </c>
      <c r="E11">
        <v>95</v>
      </c>
      <c r="F11" s="7">
        <v>29</v>
      </c>
      <c r="G11" s="23">
        <f>F11*E$13</f>
        <v>0.30534775347842946</v>
      </c>
      <c r="H11">
        <v>1</v>
      </c>
      <c r="I11" s="7">
        <v>1</v>
      </c>
      <c r="J11" s="23">
        <f>I11*H$13</f>
        <v>0.5</v>
      </c>
      <c r="K11">
        <v>20</v>
      </c>
      <c r="L11" s="7">
        <v>-1</v>
      </c>
      <c r="M11" s="23">
        <f>L11*K$13</f>
        <v>-0.22360679774997896</v>
      </c>
      <c r="N11">
        <v>80</v>
      </c>
      <c r="O11" s="7">
        <v>1</v>
      </c>
      <c r="P11" s="23">
        <f>O11*N$13</f>
        <v>0.11180339887498948</v>
      </c>
      <c r="Q11">
        <f>SQRT(Q9/Q10)</f>
        <v>1.0014964331235574</v>
      </c>
      <c r="R11" s="7">
        <v>-12</v>
      </c>
      <c r="S11" s="23">
        <f>R11*Q$13</f>
        <v>-0.10241085157359613</v>
      </c>
    </row>
    <row r="12" spans="1:19" x14ac:dyDescent="0.35">
      <c r="A12">
        <v>2</v>
      </c>
      <c r="B12" s="7">
        <v>-1</v>
      </c>
      <c r="C12" s="23">
        <f t="shared" ref="C12:C15" si="0">B12*A$13</f>
        <v>-0.5</v>
      </c>
      <c r="E12">
        <f>E11*E10</f>
        <v>94.973680564670119</v>
      </c>
      <c r="F12" s="7">
        <v>-76</v>
      </c>
      <c r="G12" s="23">
        <f t="shared" ref="G12:G15" si="1">F12*E$13</f>
        <v>-0.80022169877105653</v>
      </c>
      <c r="H12">
        <v>2</v>
      </c>
      <c r="I12" s="7">
        <v>-1</v>
      </c>
      <c r="J12" s="23">
        <f t="shared" ref="J12:J15" si="2">I12*H$13</f>
        <v>-0.5</v>
      </c>
      <c r="K12">
        <f>SQRT(K11)</f>
        <v>4.4721359549995796</v>
      </c>
      <c r="L12" s="7">
        <v>-1</v>
      </c>
      <c r="M12" s="23">
        <f t="shared" ref="M12:M15" si="3">L12*K$13</f>
        <v>-0.22360679774997896</v>
      </c>
      <c r="N12">
        <f>SQRT(N11)</f>
        <v>8.9442719099991592</v>
      </c>
      <c r="O12" s="7">
        <v>1</v>
      </c>
      <c r="P12" s="23">
        <f t="shared" ref="P12:P15" si="4">O12*N$13</f>
        <v>0.11180339887498948</v>
      </c>
      <c r="Q12">
        <f>Q11*Q8</f>
        <v>117.17508267545621</v>
      </c>
      <c r="R12" s="7">
        <v>-42</v>
      </c>
      <c r="S12" s="23">
        <f t="shared" ref="S12:S15" si="5">R12*Q$13</f>
        <v>-0.35843798050758646</v>
      </c>
    </row>
    <row r="13" spans="1:19" x14ac:dyDescent="0.35">
      <c r="A13" s="20">
        <f>A11/A12</f>
        <v>0.5</v>
      </c>
      <c r="B13" s="7">
        <v>0</v>
      </c>
      <c r="C13" s="23">
        <f t="shared" si="0"/>
        <v>0</v>
      </c>
      <c r="E13" s="20">
        <f>E7/E12</f>
        <v>1.0529232878566533E-2</v>
      </c>
      <c r="F13" s="7">
        <v>-1</v>
      </c>
      <c r="G13" s="23">
        <f t="shared" si="1"/>
        <v>-1.0529232878566533E-2</v>
      </c>
      <c r="H13" s="20">
        <f>H11/H12</f>
        <v>0.5</v>
      </c>
      <c r="I13" s="7">
        <v>0</v>
      </c>
      <c r="J13" s="23">
        <f t="shared" si="2"/>
        <v>0</v>
      </c>
      <c r="K13" s="20">
        <f>K10/K12</f>
        <v>0.22360679774997896</v>
      </c>
      <c r="L13" s="7">
        <v>-1</v>
      </c>
      <c r="M13" s="23">
        <f t="shared" si="3"/>
        <v>-0.22360679774997896</v>
      </c>
      <c r="N13" s="20">
        <f>N10/N12</f>
        <v>0.11180339887498948</v>
      </c>
      <c r="O13" s="7">
        <v>1</v>
      </c>
      <c r="P13" s="23">
        <f t="shared" si="4"/>
        <v>0.11180339887498948</v>
      </c>
      <c r="Q13" s="20">
        <f>Q7/Q12</f>
        <v>8.5342376311330105E-3</v>
      </c>
      <c r="R13" s="7">
        <v>-27</v>
      </c>
      <c r="S13" s="23">
        <f t="shared" si="5"/>
        <v>-0.23042441604059127</v>
      </c>
    </row>
    <row r="14" spans="1:19" x14ac:dyDescent="0.35">
      <c r="B14" s="7">
        <v>1</v>
      </c>
      <c r="C14" s="23">
        <f t="shared" si="0"/>
        <v>0.5</v>
      </c>
      <c r="F14" s="7">
        <v>49</v>
      </c>
      <c r="G14" s="23">
        <f t="shared" si="1"/>
        <v>0.51593241104976018</v>
      </c>
      <c r="I14" s="7">
        <v>-1</v>
      </c>
      <c r="J14" s="23">
        <f t="shared" si="2"/>
        <v>-0.5</v>
      </c>
      <c r="L14" s="7">
        <v>-1</v>
      </c>
      <c r="M14" s="23">
        <f t="shared" si="3"/>
        <v>-0.22360679774997896</v>
      </c>
      <c r="O14" s="7">
        <v>1</v>
      </c>
      <c r="P14" s="23">
        <f t="shared" si="4"/>
        <v>0.11180339887498948</v>
      </c>
      <c r="R14" s="7">
        <v>-22</v>
      </c>
      <c r="S14" s="23">
        <f t="shared" si="5"/>
        <v>-0.18775322788492624</v>
      </c>
    </row>
    <row r="15" spans="1:19" x14ac:dyDescent="0.35">
      <c r="B15" s="7">
        <v>-1</v>
      </c>
      <c r="C15" s="23">
        <f t="shared" si="0"/>
        <v>-0.5</v>
      </c>
      <c r="F15" s="7">
        <v>-1</v>
      </c>
      <c r="G15" s="23">
        <f t="shared" si="1"/>
        <v>-1.0529232878566533E-2</v>
      </c>
      <c r="I15" s="7">
        <v>1</v>
      </c>
      <c r="J15" s="23">
        <f t="shared" si="2"/>
        <v>0.5</v>
      </c>
      <c r="L15" s="7">
        <v>4</v>
      </c>
      <c r="M15" s="23">
        <f t="shared" si="3"/>
        <v>0.89442719099991586</v>
      </c>
      <c r="O15" s="7">
        <v>-4</v>
      </c>
      <c r="P15" s="23">
        <f t="shared" si="4"/>
        <v>-0.44721359549995793</v>
      </c>
      <c r="R15" s="7">
        <v>103</v>
      </c>
      <c r="S15" s="23">
        <f t="shared" si="5"/>
        <v>0.87902647600670003</v>
      </c>
    </row>
    <row r="17" spans="1:20" x14ac:dyDescent="0.35">
      <c r="C17" t="s">
        <v>81</v>
      </c>
      <c r="D17" t="s">
        <v>82</v>
      </c>
      <c r="E17" t="s">
        <v>83</v>
      </c>
      <c r="F17" t="s">
        <v>84</v>
      </c>
      <c r="G17" t="s">
        <v>85</v>
      </c>
      <c r="H17" t="s">
        <v>86</v>
      </c>
    </row>
    <row r="19" spans="1:20" x14ac:dyDescent="0.35">
      <c r="C19" s="24">
        <f>C11</f>
        <v>0.5</v>
      </c>
      <c r="D19" s="24">
        <f>G11</f>
        <v>0.30534775347842946</v>
      </c>
      <c r="E19" s="24">
        <f>J11</f>
        <v>0.5</v>
      </c>
      <c r="F19" s="24">
        <f>M11</f>
        <v>-0.22360679774997896</v>
      </c>
      <c r="G19" s="24">
        <f>P11</f>
        <v>0.11180339887498948</v>
      </c>
      <c r="H19" s="24">
        <f>S11</f>
        <v>-0.10241085157359613</v>
      </c>
    </row>
    <row r="20" spans="1:20" x14ac:dyDescent="0.35">
      <c r="C20" s="24">
        <f t="shared" ref="C20:C23" si="6">C12</f>
        <v>-0.5</v>
      </c>
      <c r="D20" s="24">
        <f t="shared" ref="D20:D23" si="7">G12</f>
        <v>-0.80022169877105653</v>
      </c>
      <c r="E20" s="24">
        <f t="shared" ref="E20:E23" si="8">J12</f>
        <v>-0.5</v>
      </c>
      <c r="F20" s="24">
        <f t="shared" ref="F20:F23" si="9">M12</f>
        <v>-0.22360679774997896</v>
      </c>
      <c r="G20" s="24">
        <f t="shared" ref="G20:G23" si="10">P12</f>
        <v>0.11180339887498948</v>
      </c>
      <c r="H20" s="24">
        <f t="shared" ref="H20:H23" si="11">S12</f>
        <v>-0.35843798050758646</v>
      </c>
    </row>
    <row r="21" spans="1:20" x14ac:dyDescent="0.35">
      <c r="C21" s="24">
        <f t="shared" si="6"/>
        <v>0</v>
      </c>
      <c r="D21" s="24">
        <f t="shared" si="7"/>
        <v>-1.0529232878566533E-2</v>
      </c>
      <c r="E21" s="24">
        <f t="shared" si="8"/>
        <v>0</v>
      </c>
      <c r="F21" s="24">
        <f t="shared" si="9"/>
        <v>-0.22360679774997896</v>
      </c>
      <c r="G21" s="24">
        <f t="shared" si="10"/>
        <v>0.11180339887498948</v>
      </c>
      <c r="H21" s="24">
        <f t="shared" si="11"/>
        <v>-0.23042441604059127</v>
      </c>
    </row>
    <row r="22" spans="1:20" x14ac:dyDescent="0.35">
      <c r="C22" s="24">
        <f t="shared" si="6"/>
        <v>0.5</v>
      </c>
      <c r="D22" s="24">
        <f t="shared" si="7"/>
        <v>0.51593241104976018</v>
      </c>
      <c r="E22" s="24">
        <f t="shared" si="8"/>
        <v>-0.5</v>
      </c>
      <c r="F22" s="24">
        <f t="shared" si="9"/>
        <v>-0.22360679774997896</v>
      </c>
      <c r="G22" s="24">
        <f t="shared" si="10"/>
        <v>0.11180339887498948</v>
      </c>
      <c r="H22" s="24">
        <f t="shared" si="11"/>
        <v>-0.18775322788492624</v>
      </c>
    </row>
    <row r="23" spans="1:20" x14ac:dyDescent="0.35">
      <c r="C23" s="24">
        <f t="shared" si="6"/>
        <v>-0.5</v>
      </c>
      <c r="D23" s="24">
        <f t="shared" si="7"/>
        <v>-1.0529232878566533E-2</v>
      </c>
      <c r="E23" s="24">
        <f t="shared" si="8"/>
        <v>0.5</v>
      </c>
      <c r="F23" s="24">
        <f t="shared" si="9"/>
        <v>0.89442719099991586</v>
      </c>
      <c r="G23" s="24">
        <f t="shared" si="10"/>
        <v>-0.44721359549995793</v>
      </c>
      <c r="H23" s="24">
        <f t="shared" si="11"/>
        <v>0.87902647600670003</v>
      </c>
    </row>
    <row r="24" spans="1:20" x14ac:dyDescent="0.35">
      <c r="C24" s="22"/>
      <c r="D24" s="22"/>
      <c r="E24" s="22"/>
      <c r="F24" s="22"/>
      <c r="G24" s="22"/>
      <c r="H24" s="22"/>
      <c r="S24">
        <f>1/5</f>
        <v>0.2</v>
      </c>
      <c r="T24">
        <f>0-S24</f>
        <v>-0.2</v>
      </c>
    </row>
    <row r="25" spans="1:20" x14ac:dyDescent="0.35">
      <c r="C25" s="22">
        <f>SUM(C19:C24)</f>
        <v>0</v>
      </c>
      <c r="D25" s="22">
        <f t="shared" ref="D25:H25" si="12">SUM(D19:D24)</f>
        <v>1.9081958235744878E-17</v>
      </c>
      <c r="E25" s="22">
        <f t="shared" si="12"/>
        <v>0</v>
      </c>
      <c r="F25" s="22">
        <f t="shared" si="12"/>
        <v>0</v>
      </c>
      <c r="G25" s="22">
        <f t="shared" si="12"/>
        <v>0</v>
      </c>
      <c r="H25" s="22">
        <f t="shared" si="12"/>
        <v>0</v>
      </c>
    </row>
    <row r="26" spans="1:20" x14ac:dyDescent="0.35">
      <c r="R26">
        <f>4/5</f>
        <v>0.8</v>
      </c>
    </row>
    <row r="27" spans="1:20" x14ac:dyDescent="0.35">
      <c r="A27" s="26">
        <v>4</v>
      </c>
      <c r="C27" s="28">
        <f>ROUND(C19,$A$27)</f>
        <v>0.5</v>
      </c>
      <c r="D27" s="28">
        <f t="shared" ref="D27:H27" si="13">ROUND(D19,$A$27)</f>
        <v>0.30530000000000002</v>
      </c>
      <c r="E27" s="28">
        <f t="shared" si="13"/>
        <v>0.5</v>
      </c>
      <c r="F27" s="28">
        <f t="shared" si="13"/>
        <v>-0.22359999999999999</v>
      </c>
      <c r="G27" s="28">
        <f t="shared" si="13"/>
        <v>0.1118</v>
      </c>
      <c r="H27" s="29">
        <f t="shared" si="13"/>
        <v>-0.1024</v>
      </c>
      <c r="J27" t="str">
        <f>C27&amp;" &amp; "&amp;D27&amp;" &amp; "&amp;E27&amp;" &amp; "&amp;F27&amp;" &amp; "&amp;G27&amp;" &amp; "&amp;H27&amp;" \\"</f>
        <v>0,5 &amp; 0,3053 &amp; 0,5 &amp; -0,2236 &amp; 0,1118 &amp; -0,1024 \\</v>
      </c>
      <c r="R27">
        <f>R26/S24</f>
        <v>4</v>
      </c>
    </row>
    <row r="28" spans="1:20" x14ac:dyDescent="0.35">
      <c r="C28" s="28">
        <f t="shared" ref="C28:H28" si="14">ROUND(C20,$A$27)</f>
        <v>-0.5</v>
      </c>
      <c r="D28" s="28">
        <f t="shared" si="14"/>
        <v>-0.80020000000000002</v>
      </c>
      <c r="E28" s="28">
        <f t="shared" si="14"/>
        <v>-0.5</v>
      </c>
      <c r="F28" s="28">
        <f t="shared" si="14"/>
        <v>-0.22359999999999999</v>
      </c>
      <c r="G28" s="28">
        <f t="shared" si="14"/>
        <v>0.1118</v>
      </c>
      <c r="H28" s="29">
        <f t="shared" si="14"/>
        <v>-0.3584</v>
      </c>
      <c r="J28" t="str">
        <f t="shared" ref="J28:J31" si="15">C28&amp;" &amp; "&amp;D28&amp;" &amp; "&amp;E28&amp;" &amp; "&amp;F28&amp;" &amp; "&amp;G28&amp;" &amp; "&amp;H28&amp;" \\"</f>
        <v>-0,5 &amp; -0,8002 &amp; -0,5 &amp; -0,2236 &amp; 0,1118 &amp; -0,3584 \\</v>
      </c>
    </row>
    <row r="29" spans="1:20" x14ac:dyDescent="0.35">
      <c r="C29" s="28">
        <f t="shared" ref="C29:H29" si="16">ROUND(C21,$A$27)</f>
        <v>0</v>
      </c>
      <c r="D29" s="28">
        <f t="shared" si="16"/>
        <v>-1.0500000000000001E-2</v>
      </c>
      <c r="E29" s="28">
        <f t="shared" si="16"/>
        <v>0</v>
      </c>
      <c r="F29" s="28">
        <f t="shared" si="16"/>
        <v>-0.22359999999999999</v>
      </c>
      <c r="G29" s="28">
        <f t="shared" si="16"/>
        <v>0.1118</v>
      </c>
      <c r="H29" s="29">
        <f t="shared" si="16"/>
        <v>-0.23039999999999999</v>
      </c>
      <c r="J29" t="str">
        <f t="shared" si="15"/>
        <v>0 &amp; -0,0105 &amp; 0 &amp; -0,2236 &amp; 0,1118 &amp; -0,2304 \\</v>
      </c>
    </row>
    <row r="30" spans="1:20" x14ac:dyDescent="0.35">
      <c r="C30" s="28">
        <f t="shared" ref="C30:H30" si="17">ROUND(C22,$A$27)</f>
        <v>0.5</v>
      </c>
      <c r="D30" s="28">
        <f t="shared" si="17"/>
        <v>0.51590000000000003</v>
      </c>
      <c r="E30" s="28">
        <f t="shared" si="17"/>
        <v>-0.5</v>
      </c>
      <c r="F30" s="28">
        <f t="shared" si="17"/>
        <v>-0.22359999999999999</v>
      </c>
      <c r="G30" s="28">
        <f t="shared" si="17"/>
        <v>0.1118</v>
      </c>
      <c r="H30" s="29">
        <f t="shared" si="17"/>
        <v>-0.18779999999999999</v>
      </c>
      <c r="J30" t="str">
        <f t="shared" si="15"/>
        <v>0,5 &amp; 0,5159 &amp; -0,5 &amp; -0,2236 &amp; 0,1118 &amp; -0,1878 \\</v>
      </c>
    </row>
    <row r="31" spans="1:20" x14ac:dyDescent="0.35">
      <c r="C31" s="28">
        <f t="shared" ref="C31:H31" si="18">ROUND(C23,$A$27)</f>
        <v>-0.5</v>
      </c>
      <c r="D31" s="28">
        <f t="shared" si="18"/>
        <v>-1.0500000000000001E-2</v>
      </c>
      <c r="E31" s="28">
        <f t="shared" si="18"/>
        <v>0.5</v>
      </c>
      <c r="F31" s="28">
        <f t="shared" si="18"/>
        <v>0.89439999999999997</v>
      </c>
      <c r="G31" s="28">
        <f t="shared" si="18"/>
        <v>-0.44719999999999999</v>
      </c>
      <c r="H31" s="29">
        <f t="shared" si="18"/>
        <v>0.879</v>
      </c>
      <c r="J31" t="str">
        <f t="shared" si="15"/>
        <v>-0,5 &amp; -0,0105 &amp; 0,5 &amp; 0,8944 &amp; -0,4472 &amp; 0,879 \\</v>
      </c>
    </row>
    <row r="33" spans="3:20" x14ac:dyDescent="0.35">
      <c r="C33" s="27">
        <f>SUM(C27:C32)</f>
        <v>0</v>
      </c>
      <c r="D33" s="27">
        <f t="shared" ref="D33:H33" si="19">SUM(D27:D32)</f>
        <v>6.4184768611141862E-17</v>
      </c>
      <c r="E33" s="27">
        <f t="shared" si="19"/>
        <v>0</v>
      </c>
      <c r="F33" s="27">
        <f t="shared" si="19"/>
        <v>0</v>
      </c>
      <c r="G33" s="27">
        <f t="shared" si="19"/>
        <v>0</v>
      </c>
      <c r="H33" s="27">
        <f t="shared" si="19"/>
        <v>0</v>
      </c>
      <c r="Q33">
        <v>1</v>
      </c>
      <c r="R33">
        <f>Q33^2</f>
        <v>1</v>
      </c>
      <c r="S33">
        <f t="shared" ref="S33:S38" si="20">Q33/$R$41</f>
        <v>0.1889822365046136</v>
      </c>
      <c r="T33">
        <f>S33^2</f>
        <v>3.5714285714285705E-2</v>
      </c>
    </row>
    <row r="34" spans="3:20" x14ac:dyDescent="0.35">
      <c r="Q34">
        <v>2</v>
      </c>
      <c r="R34">
        <f t="shared" ref="R34:R38" si="21">Q34^2</f>
        <v>4</v>
      </c>
      <c r="S34">
        <f t="shared" si="20"/>
        <v>0.3779644730092272</v>
      </c>
      <c r="T34">
        <f t="shared" ref="T34:T38" si="22">S34^2</f>
        <v>0.14285714285714282</v>
      </c>
    </row>
    <row r="35" spans="3:20" x14ac:dyDescent="0.35">
      <c r="C35" s="25"/>
      <c r="I35" s="30">
        <v>-0.1024</v>
      </c>
      <c r="J35" s="30">
        <v>-0.3584</v>
      </c>
      <c r="K35" s="30">
        <v>-0.23039999999999999</v>
      </c>
      <c r="L35" s="30">
        <v>-0.18779999999999999</v>
      </c>
      <c r="M35" s="30">
        <v>0.879</v>
      </c>
      <c r="Q35">
        <v>3</v>
      </c>
      <c r="R35">
        <f t="shared" si="21"/>
        <v>9</v>
      </c>
      <c r="S35">
        <f t="shared" si="20"/>
        <v>0.56694670951384085</v>
      </c>
      <c r="T35">
        <f t="shared" si="22"/>
        <v>0.32142857142857145</v>
      </c>
    </row>
    <row r="36" spans="3:20" x14ac:dyDescent="0.35">
      <c r="C36" s="30">
        <v>0.5</v>
      </c>
      <c r="D36" s="30">
        <v>0.30530000000000002</v>
      </c>
      <c r="E36" s="30">
        <v>0.5</v>
      </c>
      <c r="F36" s="30">
        <v>-0.22359999999999999</v>
      </c>
      <c r="G36" s="30">
        <v>0.1118</v>
      </c>
      <c r="H36" s="30">
        <v>-0.1024</v>
      </c>
      <c r="I36">
        <f>$C36*I$35</f>
        <v>-5.1200000000000002E-2</v>
      </c>
      <c r="Q36">
        <v>-1</v>
      </c>
      <c r="R36">
        <f t="shared" si="21"/>
        <v>1</v>
      </c>
      <c r="S36">
        <f t="shared" si="20"/>
        <v>-0.1889822365046136</v>
      </c>
      <c r="T36">
        <f t="shared" si="22"/>
        <v>3.5714285714285705E-2</v>
      </c>
    </row>
    <row r="37" spans="3:20" x14ac:dyDescent="0.35">
      <c r="C37" s="30">
        <v>-0.5</v>
      </c>
      <c r="D37" s="30">
        <v>-0.80020000000000002</v>
      </c>
      <c r="E37" s="30">
        <v>-0.5</v>
      </c>
      <c r="F37" s="30">
        <v>-0.22359999999999999</v>
      </c>
      <c r="G37" s="30">
        <v>0.1118</v>
      </c>
      <c r="H37" s="30">
        <v>-0.3584</v>
      </c>
      <c r="J37">
        <f>$C37*J$35</f>
        <v>0.1792</v>
      </c>
      <c r="Q37">
        <v>-2</v>
      </c>
      <c r="R37">
        <f t="shared" si="21"/>
        <v>4</v>
      </c>
      <c r="S37">
        <f t="shared" si="20"/>
        <v>-0.3779644730092272</v>
      </c>
      <c r="T37">
        <f t="shared" si="22"/>
        <v>0.14285714285714282</v>
      </c>
    </row>
    <row r="38" spans="3:20" x14ac:dyDescent="0.35">
      <c r="C38" s="30">
        <v>0</v>
      </c>
      <c r="D38" s="30">
        <v>-1.0500000000000001E-2</v>
      </c>
      <c r="E38" s="30">
        <v>0</v>
      </c>
      <c r="F38" s="30">
        <v>-0.22359999999999999</v>
      </c>
      <c r="G38" s="30">
        <v>0.1118</v>
      </c>
      <c r="H38" s="30">
        <v>-0.23039999999999999</v>
      </c>
      <c r="K38">
        <f>$C38*K$35</f>
        <v>0</v>
      </c>
      <c r="Q38">
        <v>-3</v>
      </c>
      <c r="R38">
        <f t="shared" si="21"/>
        <v>9</v>
      </c>
      <c r="S38">
        <f t="shared" si="20"/>
        <v>-0.56694670951384085</v>
      </c>
      <c r="T38">
        <f t="shared" si="22"/>
        <v>0.32142857142857145</v>
      </c>
    </row>
    <row r="39" spans="3:20" x14ac:dyDescent="0.35">
      <c r="C39" s="30">
        <v>0.5</v>
      </c>
      <c r="D39" s="30">
        <v>0.51590000000000003</v>
      </c>
      <c r="E39" s="30">
        <v>-0.5</v>
      </c>
      <c r="F39" s="30">
        <v>-0.22359999999999999</v>
      </c>
      <c r="G39" s="30">
        <v>0.1118</v>
      </c>
      <c r="H39" s="30">
        <v>-0.18779999999999999</v>
      </c>
      <c r="L39">
        <f>$C39*L$35</f>
        <v>-9.3899999999999997E-2</v>
      </c>
    </row>
    <row r="40" spans="3:20" x14ac:dyDescent="0.35">
      <c r="C40" s="30">
        <v>-0.5</v>
      </c>
      <c r="D40" s="30">
        <v>-1.0500000000000001E-2</v>
      </c>
      <c r="E40" s="30">
        <v>0.5</v>
      </c>
      <c r="F40" s="30">
        <v>0.89439999999999997</v>
      </c>
      <c r="G40" s="30">
        <v>-0.44719999999999999</v>
      </c>
      <c r="H40" s="30">
        <v>0.879</v>
      </c>
      <c r="M40">
        <f>$C40*M$35</f>
        <v>-0.4395</v>
      </c>
      <c r="Q40">
        <f>SUM(Q33:Q39)</f>
        <v>0</v>
      </c>
      <c r="R40">
        <f>SUM(R33:R39)</f>
        <v>28</v>
      </c>
      <c r="T40">
        <f>SUM(T33:T39)</f>
        <v>1</v>
      </c>
    </row>
    <row r="41" spans="3:20" x14ac:dyDescent="0.35">
      <c r="R41">
        <f>SQRT(R40)</f>
        <v>5.2915026221291814</v>
      </c>
    </row>
    <row r="43" spans="3:20" x14ac:dyDescent="0.35">
      <c r="C43" s="30">
        <v>0.5</v>
      </c>
      <c r="D43" s="30">
        <v>-0.5</v>
      </c>
      <c r="E43" s="30">
        <v>0</v>
      </c>
      <c r="F43" s="30">
        <v>0.5</v>
      </c>
      <c r="G43" s="30">
        <v>-0.5</v>
      </c>
      <c r="I43" t="str">
        <f>C43&amp;" \\ "&amp;D43&amp;" \\ "&amp;E43&amp;" \\ "&amp;F43&amp;" \\ "&amp;G43</f>
        <v>0,5 \\ -0,5 \\ 0 \\ 0,5 \\ -0,5</v>
      </c>
    </row>
    <row r="44" spans="3:20" x14ac:dyDescent="0.35">
      <c r="C44" s="30">
        <v>0.30530000000000002</v>
      </c>
      <c r="D44" s="30">
        <v>-0.80020000000000002</v>
      </c>
      <c r="E44" s="30">
        <v>-1.0500000000000001E-2</v>
      </c>
      <c r="F44" s="30">
        <v>0.51590000000000003</v>
      </c>
      <c r="G44" s="30">
        <v>-1.0500000000000001E-2</v>
      </c>
    </row>
    <row r="45" spans="3:20" x14ac:dyDescent="0.35">
      <c r="C45" s="30">
        <v>0.5</v>
      </c>
      <c r="D45" s="30">
        <v>-0.5</v>
      </c>
      <c r="E45" s="30">
        <v>0</v>
      </c>
      <c r="F45" s="30">
        <v>-0.5</v>
      </c>
      <c r="G45" s="30">
        <v>0.5</v>
      </c>
    </row>
    <row r="46" spans="3:20" x14ac:dyDescent="0.35">
      <c r="C46" s="30">
        <v>-0.22359999999999999</v>
      </c>
      <c r="D46" s="30">
        <v>-0.22359999999999999</v>
      </c>
      <c r="E46" s="30">
        <v>-0.22359999999999999</v>
      </c>
      <c r="F46" s="30">
        <v>-0.22359999999999999</v>
      </c>
      <c r="G46" s="30">
        <v>0.89439999999999997</v>
      </c>
    </row>
    <row r="47" spans="3:20" x14ac:dyDescent="0.35">
      <c r="C47" s="30">
        <v>0.1118</v>
      </c>
      <c r="D47" s="30">
        <v>0.1118</v>
      </c>
      <c r="E47" s="30">
        <v>0.1118</v>
      </c>
      <c r="F47" s="30">
        <v>0.1118</v>
      </c>
      <c r="G47" s="30">
        <v>-0.44719999999999999</v>
      </c>
    </row>
    <row r="48" spans="3:20" x14ac:dyDescent="0.35">
      <c r="C48" s="30">
        <v>-0.1024</v>
      </c>
      <c r="D48" s="30">
        <v>-0.3584</v>
      </c>
      <c r="E48" s="30">
        <v>-0.23039999999999999</v>
      </c>
      <c r="F48" s="30">
        <v>-0.18779999999999999</v>
      </c>
      <c r="G48" s="30">
        <v>0.879</v>
      </c>
      <c r="I48" t="str">
        <f>C48&amp;" &amp; "&amp;D48&amp;" &amp; "&amp;E48&amp;" &amp; "&amp;F48&amp;" &amp; "&amp;G48</f>
        <v>-0,1024 &amp; -0,3584 &amp; -0,2304 &amp; -0,1878 &amp; 0,879</v>
      </c>
    </row>
    <row r="51" spans="3:13" x14ac:dyDescent="0.35">
      <c r="C51" s="25"/>
      <c r="I51" s="30"/>
      <c r="J51" s="30"/>
      <c r="K51" s="30"/>
      <c r="L51" s="30"/>
      <c r="M51" s="30"/>
    </row>
    <row r="52" spans="3:13" x14ac:dyDescent="0.35">
      <c r="C52" s="30">
        <v>0.5</v>
      </c>
      <c r="D52" s="30">
        <v>0.30530000000000002</v>
      </c>
      <c r="E52" s="30">
        <v>0.5</v>
      </c>
      <c r="F52" s="30">
        <v>-0.22359999999999999</v>
      </c>
      <c r="G52" s="30">
        <v>0.1118</v>
      </c>
      <c r="H52" s="31">
        <v>-0.1024</v>
      </c>
      <c r="J52" t="str">
        <f>D52&amp;" &amp; "&amp;H52&amp;" \\"</f>
        <v>0,3053 &amp; -0,1024 \\</v>
      </c>
    </row>
    <row r="53" spans="3:13" x14ac:dyDescent="0.35">
      <c r="C53" s="30">
        <v>-0.5</v>
      </c>
      <c r="D53" s="30">
        <v>-0.80020000000000002</v>
      </c>
      <c r="E53" s="30">
        <v>-0.5</v>
      </c>
      <c r="F53" s="30">
        <v>-0.22359999999999999</v>
      </c>
      <c r="G53" s="30">
        <v>0.1118</v>
      </c>
      <c r="H53" s="31">
        <v>-0.3584</v>
      </c>
      <c r="J53" t="str">
        <f t="shared" ref="J53:J56" si="23">D53&amp;" &amp; "&amp;H53&amp;" \\"</f>
        <v>-0,8002 &amp; -0,3584 \\</v>
      </c>
    </row>
    <row r="54" spans="3:13" x14ac:dyDescent="0.35">
      <c r="C54" s="30">
        <v>0</v>
      </c>
      <c r="D54" s="30">
        <v>-1.0500000000000001E-2</v>
      </c>
      <c r="E54" s="30">
        <v>0</v>
      </c>
      <c r="F54" s="30">
        <v>-0.22359999999999999</v>
      </c>
      <c r="G54" s="30">
        <v>0.1118</v>
      </c>
      <c r="H54" s="31">
        <v>-0.23039999999999999</v>
      </c>
      <c r="J54" t="str">
        <f t="shared" si="23"/>
        <v>-0,0105 &amp; -0,2304 \\</v>
      </c>
    </row>
    <row r="55" spans="3:13" x14ac:dyDescent="0.35">
      <c r="C55" s="30">
        <v>0.5</v>
      </c>
      <c r="D55" s="30">
        <v>0.51590000000000003</v>
      </c>
      <c r="E55" s="30">
        <v>-0.5</v>
      </c>
      <c r="F55" s="30">
        <v>-0.22359999999999999</v>
      </c>
      <c r="G55" s="30">
        <v>0.1118</v>
      </c>
      <c r="H55" s="31">
        <v>-0.18779999999999999</v>
      </c>
      <c r="J55" t="str">
        <f t="shared" si="23"/>
        <v>0,5159 &amp; -0,1878 \\</v>
      </c>
    </row>
    <row r="56" spans="3:13" x14ac:dyDescent="0.35">
      <c r="C56" s="30">
        <v>-0.5</v>
      </c>
      <c r="D56" s="30">
        <v>-1.0500000000000001E-2</v>
      </c>
      <c r="E56" s="30">
        <v>0.5</v>
      </c>
      <c r="F56" s="30">
        <v>0.89439999999999997</v>
      </c>
      <c r="G56" s="30">
        <v>-0.44719999999999999</v>
      </c>
      <c r="H56" s="31">
        <v>0.879</v>
      </c>
      <c r="J56" t="str">
        <f t="shared" si="23"/>
        <v>-0,0105 &amp; 0,879 \\</v>
      </c>
    </row>
    <row r="59" spans="3:13" x14ac:dyDescent="0.35">
      <c r="C59" s="30">
        <v>0.5</v>
      </c>
      <c r="D59" s="30">
        <v>-0.5</v>
      </c>
      <c r="E59" s="30">
        <v>0</v>
      </c>
      <c r="F59" s="30">
        <v>0.5</v>
      </c>
      <c r="G59" s="30">
        <v>-0.5</v>
      </c>
      <c r="I59" t="str">
        <f>C59&amp;" \\ "&amp;D59&amp;" \\ "&amp;E59&amp;" \\ "&amp;F59&amp;" \\ "&amp;G59</f>
        <v>0,5 \\ -0,5 \\ 0 \\ 0,5 \\ -0,5</v>
      </c>
    </row>
    <row r="60" spans="3:13" x14ac:dyDescent="0.35">
      <c r="C60" s="30">
        <v>0.30530000000000002</v>
      </c>
      <c r="D60" s="30">
        <v>-0.80020000000000002</v>
      </c>
      <c r="E60" s="30">
        <v>-1.0500000000000001E-2</v>
      </c>
      <c r="F60" s="30">
        <v>0.51590000000000003</v>
      </c>
      <c r="G60" s="30">
        <v>-1.0500000000000001E-2</v>
      </c>
      <c r="I60" t="str">
        <f>C60&amp;" &amp; "&amp;D60&amp;" &amp; "&amp;E60&amp;" &amp; "&amp;F60&amp;" &amp; "&amp;G60</f>
        <v>0,3053 &amp; -0,8002 &amp; -0,0105 &amp; 0,5159 &amp; -0,0105</v>
      </c>
    </row>
    <row r="61" spans="3:13" x14ac:dyDescent="0.35">
      <c r="C61" s="30">
        <v>0.5</v>
      </c>
      <c r="D61" s="30">
        <v>-0.5</v>
      </c>
      <c r="E61" s="30">
        <v>0</v>
      </c>
      <c r="F61" s="30">
        <v>-0.5</v>
      </c>
      <c r="G61" s="30">
        <v>0.5</v>
      </c>
    </row>
    <row r="62" spans="3:13" x14ac:dyDescent="0.35">
      <c r="C62" s="30">
        <v>-0.22359999999999999</v>
      </c>
      <c r="D62" s="30">
        <v>-0.22359999999999999</v>
      </c>
      <c r="E62" s="30">
        <v>-0.22359999999999999</v>
      </c>
      <c r="F62" s="30">
        <v>-0.22359999999999999</v>
      </c>
      <c r="G62" s="30">
        <v>0.89439999999999997</v>
      </c>
    </row>
    <row r="63" spans="3:13" x14ac:dyDescent="0.35">
      <c r="C63" s="30">
        <v>0.1118</v>
      </c>
      <c r="D63" s="30">
        <v>0.1118</v>
      </c>
      <c r="E63" s="30">
        <v>0.1118</v>
      </c>
      <c r="F63" s="30">
        <v>0.1118</v>
      </c>
      <c r="G63" s="30">
        <v>-0.44719999999999999</v>
      </c>
    </row>
    <row r="64" spans="3:13" x14ac:dyDescent="0.35">
      <c r="C64" s="30">
        <v>-0.1024</v>
      </c>
      <c r="D64" s="30">
        <v>-0.3584</v>
      </c>
      <c r="E64" s="30">
        <v>-0.23039999999999999</v>
      </c>
      <c r="F64" s="30">
        <v>-0.18779999999999999</v>
      </c>
      <c r="G64" s="30">
        <v>0.879</v>
      </c>
      <c r="I64" t="str">
        <f>C64&amp;" &amp; "&amp;D64&amp;" &amp; "&amp;E64&amp;" &amp; "&amp;F64&amp;" &amp; "&amp;G64</f>
        <v>-0,1024 &amp; -0,3584 &amp; -0,2304 &amp; -0,1878 &amp; 0,879</v>
      </c>
    </row>
    <row r="69" spans="3:17" x14ac:dyDescent="0.35">
      <c r="C69" s="11">
        <v>0.5</v>
      </c>
      <c r="D69" s="11">
        <v>0.30534775347842946</v>
      </c>
      <c r="E69" s="11">
        <v>0.5</v>
      </c>
      <c r="F69" s="11">
        <v>-0.22360679774997896</v>
      </c>
      <c r="G69" s="11">
        <v>0.11180339887498948</v>
      </c>
      <c r="H69" s="11">
        <v>-0.10241085157359613</v>
      </c>
      <c r="J69">
        <f>C69*$H69</f>
        <v>-5.1205425786798063E-2</v>
      </c>
      <c r="K69">
        <f t="shared" ref="K69:O69" si="24">D69*$H69</f>
        <v>-3.127092345981046E-2</v>
      </c>
      <c r="L69">
        <f t="shared" si="24"/>
        <v>-5.1205425786798063E-2</v>
      </c>
      <c r="M69">
        <f t="shared" si="24"/>
        <v>2.2899762575220223E-2</v>
      </c>
      <c r="N69">
        <f t="shared" si="24"/>
        <v>-1.1449881287610111E-2</v>
      </c>
      <c r="O69">
        <f t="shared" si="24"/>
        <v>1.0487982520029136E-2</v>
      </c>
      <c r="Q69" t="str">
        <f>J69&amp;" &amp; "&amp;K69&amp;" &amp; "&amp;L69&amp;" &amp; "&amp;M69&amp;" &amp; "&amp;N69&amp;" &amp; "&amp;O69</f>
        <v>-0.0512054257867981 &amp; -0.0312709234598105 &amp; -0.0512054257867981 &amp; 0.0228997625752202 &amp; -0.0114498812876101 &amp; 0.0104879825200291</v>
      </c>
    </row>
    <row r="70" spans="3:17" x14ac:dyDescent="0.35">
      <c r="C70" s="11">
        <v>-0.5</v>
      </c>
      <c r="D70" s="11">
        <v>-0.80022169877105653</v>
      </c>
      <c r="E70" s="11">
        <v>-0.5</v>
      </c>
      <c r="F70" s="11">
        <v>-0.22360679774997896</v>
      </c>
      <c r="G70" s="11">
        <v>0.11180339887498948</v>
      </c>
      <c r="H70" s="11">
        <v>-0.35843798050758646</v>
      </c>
      <c r="J70">
        <f t="shared" ref="J70:J73" si="25">C70*$H70</f>
        <v>0.17921899025379323</v>
      </c>
      <c r="K70">
        <f t="shared" ref="K70:K73" si="26">D70*$H70</f>
        <v>0.28682984966584768</v>
      </c>
      <c r="L70">
        <f t="shared" ref="L70:L73" si="27">E70*$H70</f>
        <v>0.17921899025379323</v>
      </c>
      <c r="M70">
        <f t="shared" ref="M70:M73" si="28">F70*$H70</f>
        <v>8.0149169013270793E-2</v>
      </c>
      <c r="N70">
        <f t="shared" ref="N70:N73" si="29">G70*$H70</f>
        <v>-4.0074584506635397E-2</v>
      </c>
      <c r="O70">
        <f t="shared" ref="O70:O73" si="30">H70*$H70</f>
        <v>0.12847778587035694</v>
      </c>
      <c r="Q70" t="str">
        <f t="shared" ref="Q70:Q73" si="31">J70&amp;" &amp; "&amp;K70&amp;" &amp; "&amp;L70&amp;" &amp; "&amp;M70&amp;" &amp; "&amp;N70&amp;" &amp; "&amp;O70</f>
        <v>0.179218990253793 &amp; 0.286829849665848 &amp; 0.179218990253793 &amp; 0.0801491690132708 &amp; -0.0400745845066354 &amp; 0.128477785870357</v>
      </c>
    </row>
    <row r="71" spans="3:17" x14ac:dyDescent="0.35">
      <c r="C71" s="11">
        <v>0</v>
      </c>
      <c r="D71" s="11">
        <v>-1.0529232878566533E-2</v>
      </c>
      <c r="E71" s="11">
        <v>0</v>
      </c>
      <c r="F71" s="11">
        <v>-0.22360679774997896</v>
      </c>
      <c r="G71" s="11">
        <v>0.11180339887498948</v>
      </c>
      <c r="H71" s="11">
        <v>-0.23042441604059127</v>
      </c>
      <c r="J71">
        <f t="shared" si="25"/>
        <v>0</v>
      </c>
      <c r="K71">
        <f t="shared" si="26"/>
        <v>2.4261923373990872E-3</v>
      </c>
      <c r="L71">
        <f t="shared" si="27"/>
        <v>0</v>
      </c>
      <c r="M71">
        <f t="shared" si="28"/>
        <v>5.1524465794245501E-2</v>
      </c>
      <c r="N71">
        <f t="shared" si="29"/>
        <v>-2.5762232897122751E-2</v>
      </c>
      <c r="O71">
        <f t="shared" si="30"/>
        <v>5.3095411507647496E-2</v>
      </c>
      <c r="Q71" t="str">
        <f t="shared" si="31"/>
        <v>0 &amp; 0.00242619233739909 &amp; 0 &amp; 0.0515244657942455 &amp; -0.0257622328971228 &amp; 0.0530954115076475</v>
      </c>
    </row>
    <row r="72" spans="3:17" x14ac:dyDescent="0.35">
      <c r="C72" s="11">
        <v>0.5</v>
      </c>
      <c r="D72" s="11">
        <v>0.51593241104976018</v>
      </c>
      <c r="E72" s="11">
        <v>-0.5</v>
      </c>
      <c r="F72" s="11">
        <v>-0.22360679774997896</v>
      </c>
      <c r="G72" s="11">
        <v>0.11180339887498948</v>
      </c>
      <c r="H72" s="11">
        <v>-0.18775322788492624</v>
      </c>
      <c r="J72">
        <f t="shared" si="25"/>
        <v>-9.3876613942463119E-2</v>
      </c>
      <c r="K72">
        <f t="shared" si="26"/>
        <v>-9.686797554504506E-2</v>
      </c>
      <c r="L72">
        <f t="shared" si="27"/>
        <v>9.3876613942463119E-2</v>
      </c>
      <c r="M72">
        <f t="shared" si="28"/>
        <v>4.1982898054570415E-2</v>
      </c>
      <c r="N72">
        <f t="shared" si="29"/>
        <v>-2.0991449027285208E-2</v>
      </c>
      <c r="O72">
        <f t="shared" si="30"/>
        <v>3.5251274581209045E-2</v>
      </c>
      <c r="Q72" t="str">
        <f t="shared" si="31"/>
        <v>-0.0938766139424631 &amp; -0.0968679755450451 &amp; 0.0938766139424631 &amp; 0.0419828980545704 &amp; -0.0209914490272852 &amp; 0.035251274581209</v>
      </c>
    </row>
    <row r="73" spans="3:17" x14ac:dyDescent="0.35">
      <c r="C73" s="11">
        <v>-0.5</v>
      </c>
      <c r="D73" s="11">
        <v>-1.0529232878566533E-2</v>
      </c>
      <c r="E73" s="11">
        <v>0.5</v>
      </c>
      <c r="F73" s="11">
        <v>0.89442719099991586</v>
      </c>
      <c r="G73" s="11">
        <v>-0.44721359549995793</v>
      </c>
      <c r="H73" s="11">
        <v>0.87902647600670003</v>
      </c>
      <c r="J73">
        <f t="shared" si="25"/>
        <v>-0.43951323800335002</v>
      </c>
      <c r="K73">
        <f t="shared" si="26"/>
        <v>-9.2554744723002211E-3</v>
      </c>
      <c r="L73">
        <f t="shared" si="27"/>
        <v>0.43951323800335002</v>
      </c>
      <c r="M73">
        <f t="shared" si="28"/>
        <v>0.78622518174922762</v>
      </c>
      <c r="N73">
        <f t="shared" si="29"/>
        <v>-0.39311259087461381</v>
      </c>
      <c r="O73">
        <f t="shared" si="30"/>
        <v>0.77268754552075758</v>
      </c>
      <c r="Q73" t="str">
        <f t="shared" si="31"/>
        <v>-0.43951323800335 &amp; -0.00925547447230022 &amp; 0.43951323800335 &amp; 0.786225181749228 &amp; -0.393112590874614 &amp; 0.772687545520758</v>
      </c>
    </row>
    <row r="75" spans="3:17" x14ac:dyDescent="0.35">
      <c r="J75">
        <f>SUM(J69:J74)</f>
        <v>-0.40537628747881799</v>
      </c>
      <c r="K75">
        <f t="shared" ref="K75:O75" si="32">SUM(K69:K74)</f>
        <v>0.15186166852609104</v>
      </c>
      <c r="L75">
        <f t="shared" si="32"/>
        <v>0.66140341641280831</v>
      </c>
      <c r="M75">
        <f t="shared" si="32"/>
        <v>0.98278147718653452</v>
      </c>
      <c r="N75">
        <f t="shared" si="32"/>
        <v>-0.49139073859326726</v>
      </c>
      <c r="O75">
        <f t="shared" si="32"/>
        <v>1.0000000000000002</v>
      </c>
    </row>
    <row r="77" spans="3:17" x14ac:dyDescent="0.35">
      <c r="I77" s="26">
        <v>2</v>
      </c>
      <c r="J77">
        <f>ROUND(J69,$I$77)</f>
        <v>-0.05</v>
      </c>
      <c r="K77">
        <f t="shared" ref="K77:O77" si="33">ROUND(K69,$I$77)</f>
        <v>-0.03</v>
      </c>
      <c r="L77">
        <f t="shared" si="33"/>
        <v>-0.05</v>
      </c>
      <c r="M77">
        <f t="shared" si="33"/>
        <v>0.02</v>
      </c>
      <c r="N77">
        <f t="shared" si="33"/>
        <v>-0.01</v>
      </c>
      <c r="O77">
        <f t="shared" si="33"/>
        <v>0.01</v>
      </c>
      <c r="Q77" t="str">
        <f t="shared" ref="Q77:Q81" si="34">J77&amp;" &amp; "&amp;K77&amp;" &amp; "&amp;L77&amp;" &amp; "&amp;M77&amp;" &amp; "&amp;N77&amp;" &amp; "&amp;O77</f>
        <v>-0.05 &amp; -0.03 &amp; -0.05 &amp; 0.02 &amp; -0.01 &amp; 0.01</v>
      </c>
    </row>
    <row r="78" spans="3:17" x14ac:dyDescent="0.35">
      <c r="J78">
        <f t="shared" ref="J78:O78" si="35">ROUND(J70,$I$77)</f>
        <v>0.18</v>
      </c>
      <c r="K78">
        <f t="shared" si="35"/>
        <v>0.28999999999999998</v>
      </c>
      <c r="L78">
        <f t="shared" si="35"/>
        <v>0.18</v>
      </c>
      <c r="M78">
        <f t="shared" si="35"/>
        <v>0.08</v>
      </c>
      <c r="N78">
        <f t="shared" si="35"/>
        <v>-0.04</v>
      </c>
      <c r="O78">
        <f t="shared" si="35"/>
        <v>0.13</v>
      </c>
      <c r="Q78" t="str">
        <f t="shared" si="34"/>
        <v>0.18 &amp; 0.29 &amp; 0.18 &amp; 0.08 &amp; -0.04 &amp; 0.13</v>
      </c>
    </row>
    <row r="79" spans="3:17" x14ac:dyDescent="0.35">
      <c r="J79">
        <f t="shared" ref="J79:O79" si="36">ROUND(J71,$I$77)</f>
        <v>0</v>
      </c>
      <c r="K79">
        <f t="shared" si="36"/>
        <v>0</v>
      </c>
      <c r="L79">
        <f t="shared" si="36"/>
        <v>0</v>
      </c>
      <c r="M79">
        <f t="shared" si="36"/>
        <v>0.05</v>
      </c>
      <c r="N79">
        <f t="shared" si="36"/>
        <v>-0.03</v>
      </c>
      <c r="O79">
        <f t="shared" si="36"/>
        <v>0.05</v>
      </c>
      <c r="Q79" t="str">
        <f t="shared" si="34"/>
        <v>0 &amp; 0 &amp; 0 &amp; 0.05 &amp; -0.03 &amp; 0.05</v>
      </c>
    </row>
    <row r="80" spans="3:17" x14ac:dyDescent="0.35">
      <c r="J80">
        <f t="shared" ref="J80:O80" si="37">ROUND(J72,$I$77)</f>
        <v>-0.09</v>
      </c>
      <c r="K80">
        <f t="shared" si="37"/>
        <v>-0.1</v>
      </c>
      <c r="L80">
        <f t="shared" si="37"/>
        <v>0.09</v>
      </c>
      <c r="M80">
        <f t="shared" si="37"/>
        <v>0.04</v>
      </c>
      <c r="N80">
        <f t="shared" si="37"/>
        <v>-0.02</v>
      </c>
      <c r="O80">
        <f t="shared" si="37"/>
        <v>0.04</v>
      </c>
      <c r="Q80" t="str">
        <f t="shared" si="34"/>
        <v>-0.09 &amp; -0.1 &amp; 0.09 &amp; 0.04 &amp; -0.02 &amp; 0.04</v>
      </c>
    </row>
    <row r="81" spans="10:17" x14ac:dyDescent="0.35">
      <c r="J81">
        <f t="shared" ref="J81:O81" si="38">ROUND(J73,$I$77)</f>
        <v>-0.44</v>
      </c>
      <c r="K81">
        <f t="shared" si="38"/>
        <v>-0.01</v>
      </c>
      <c r="L81">
        <f t="shared" si="38"/>
        <v>0.44</v>
      </c>
      <c r="M81">
        <f t="shared" si="38"/>
        <v>0.79</v>
      </c>
      <c r="N81">
        <f t="shared" si="38"/>
        <v>-0.39</v>
      </c>
      <c r="O81">
        <f t="shared" si="38"/>
        <v>0.77</v>
      </c>
      <c r="Q81" t="str">
        <f t="shared" si="34"/>
        <v>-0.44 &amp; -0.01 &amp; 0.44 &amp; 0.79 &amp; -0.39 &amp; 0.77</v>
      </c>
    </row>
    <row r="83" spans="10:17" x14ac:dyDescent="0.35">
      <c r="J83">
        <f>SUM(J77:J82)</f>
        <v>-0.4</v>
      </c>
      <c r="K83">
        <f t="shared" ref="K83" si="39">SUM(K77:K82)</f>
        <v>0.15</v>
      </c>
      <c r="L83">
        <f t="shared" ref="L83" si="40">SUM(L77:L82)</f>
        <v>0.66</v>
      </c>
      <c r="M83">
        <f t="shared" ref="M83" si="41">SUM(M77:M82)</f>
        <v>0.98000000000000009</v>
      </c>
      <c r="N83">
        <f t="shared" ref="N83" si="42">SUM(N77:N82)</f>
        <v>-0.49</v>
      </c>
      <c r="O83">
        <f t="shared" ref="O83" si="43">SUM(O77:O82)</f>
        <v>1</v>
      </c>
      <c r="Q83" t="str">
        <f>J83&amp;" &amp; "&amp;K83&amp;" &amp; "&amp;L83&amp;" &amp; "&amp;M83&amp;" &amp; "&amp;N83&amp;" &amp; "&amp;O83&amp;" \\"</f>
        <v>-0.4 &amp; 0.15 &amp; 0.66 &amp; 0.98 &amp; -0.49 &amp; 1 \\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3EDC-9DB6-4DEA-B3D0-692910FDD27A}">
  <dimension ref="G2:Z21"/>
  <sheetViews>
    <sheetView topLeftCell="L1" workbookViewId="0">
      <selection activeCell="Z5" sqref="Z5"/>
    </sheetView>
  </sheetViews>
  <sheetFormatPr defaultRowHeight="14.5" x14ac:dyDescent="0.35"/>
  <cols>
    <col min="17" max="18" width="12" bestFit="1" customWidth="1"/>
    <col min="19" max="19" width="12.7265625" bestFit="1" customWidth="1"/>
    <col min="21" max="21" width="12.7265625" bestFit="1" customWidth="1"/>
    <col min="22" max="22" width="11.7265625" bestFit="1" customWidth="1"/>
  </cols>
  <sheetData>
    <row r="2" spans="7:26" x14ac:dyDescent="0.35">
      <c r="U2" s="26" t="s">
        <v>103</v>
      </c>
      <c r="V2" s="26"/>
      <c r="W2" s="26"/>
    </row>
    <row r="3" spans="7:26" x14ac:dyDescent="0.35">
      <c r="P3" t="s">
        <v>96</v>
      </c>
      <c r="Q3" t="s">
        <v>95</v>
      </c>
      <c r="R3" t="s">
        <v>97</v>
      </c>
      <c r="S3" t="s">
        <v>100</v>
      </c>
      <c r="U3" s="26" t="s">
        <v>106</v>
      </c>
      <c r="V3" s="26" t="s">
        <v>102</v>
      </c>
      <c r="W3" s="26"/>
      <c r="Y3" s="33"/>
      <c r="Z3" s="33" t="s">
        <v>105</v>
      </c>
    </row>
    <row r="4" spans="7:26" x14ac:dyDescent="0.35">
      <c r="O4">
        <v>1</v>
      </c>
      <c r="P4">
        <f>AVERAGE(O4:O7)</f>
        <v>1.25</v>
      </c>
      <c r="Q4">
        <f>O4-P4</f>
        <v>-0.25</v>
      </c>
      <c r="R4">
        <f>Q4^2</f>
        <v>6.25E-2</v>
      </c>
      <c r="S4">
        <f>Q4/$R$10</f>
        <v>-0.28867513459481292</v>
      </c>
      <c r="U4" s="26">
        <f>S4+S13</f>
        <v>-0.48696882675246722</v>
      </c>
      <c r="V4" s="26">
        <f>U4/SQRT(2)</f>
        <v>-0.34433895962312661</v>
      </c>
      <c r="W4" s="26">
        <f>ROUND(V4,2)</f>
        <v>-0.34</v>
      </c>
      <c r="X4">
        <f>U4^2</f>
        <v>0.23713863822867443</v>
      </c>
      <c r="Y4">
        <f>U4/$X$10</f>
        <v>-0.24396044147421997</v>
      </c>
      <c r="Z4" s="33">
        <f>ROUND(Y4,2)</f>
        <v>-0.24</v>
      </c>
    </row>
    <row r="5" spans="7:26" x14ac:dyDescent="0.35">
      <c r="O5">
        <v>2</v>
      </c>
      <c r="P5">
        <f>AVERAGE(O4:O7)</f>
        <v>1.25</v>
      </c>
      <c r="Q5">
        <f t="shared" ref="Q5:Q7" si="0">O5-P5</f>
        <v>0.75</v>
      </c>
      <c r="R5">
        <f t="shared" ref="R5:R7" si="1">Q5^2</f>
        <v>0.5625</v>
      </c>
      <c r="S5">
        <f t="shared" ref="S5:S7" si="2">Q5/$R$10</f>
        <v>0.86602540378443871</v>
      </c>
      <c r="U5" s="26">
        <f t="shared" ref="U5:U7" si="3">S5+S14</f>
        <v>1.7252980698009406</v>
      </c>
      <c r="V5" s="26">
        <f t="shared" ref="V5:V7" si="4">U5/SQRT(2)</f>
        <v>1.2199699647243063</v>
      </c>
      <c r="W5" s="35">
        <f t="shared" ref="W5:W7" si="5">ROUND(V5,2)</f>
        <v>1.22</v>
      </c>
      <c r="X5">
        <f t="shared" ref="X5:X7" si="6">U5^2</f>
        <v>2.9766534296588514</v>
      </c>
      <c r="Y5">
        <f t="shared" ref="Y5:Y7" si="7">U5/$X$10</f>
        <v>0.86433557069805711</v>
      </c>
      <c r="Z5" s="36">
        <f t="shared" ref="Z5:Z7" si="8">ROUND(Y5,2)</f>
        <v>0.86</v>
      </c>
    </row>
    <row r="6" spans="7:26" x14ac:dyDescent="0.35">
      <c r="O6">
        <v>1</v>
      </c>
      <c r="P6">
        <f>AVERAGE(O4:O7)</f>
        <v>1.25</v>
      </c>
      <c r="Q6">
        <f t="shared" si="0"/>
        <v>-0.25</v>
      </c>
      <c r="R6">
        <f t="shared" si="1"/>
        <v>6.25E-2</v>
      </c>
      <c r="S6">
        <f t="shared" si="2"/>
        <v>-0.28867513459481292</v>
      </c>
      <c r="U6" s="26">
        <f t="shared" si="3"/>
        <v>-0.57509935660031353</v>
      </c>
      <c r="V6" s="26">
        <f t="shared" si="4"/>
        <v>-0.40665665490810216</v>
      </c>
      <c r="W6" s="26">
        <f t="shared" si="5"/>
        <v>-0.41</v>
      </c>
      <c r="X6">
        <f t="shared" si="6"/>
        <v>0.33073926996209457</v>
      </c>
      <c r="Y6">
        <f t="shared" si="7"/>
        <v>-0.28811185689935237</v>
      </c>
      <c r="Z6" s="33">
        <f t="shared" si="8"/>
        <v>-0.28999999999999998</v>
      </c>
    </row>
    <row r="7" spans="7:26" x14ac:dyDescent="0.35">
      <c r="O7">
        <v>1</v>
      </c>
      <c r="P7">
        <f>AVERAGE(O4:O7)</f>
        <v>1.25</v>
      </c>
      <c r="Q7">
        <f t="shared" si="0"/>
        <v>-0.25</v>
      </c>
      <c r="R7">
        <f t="shared" si="1"/>
        <v>6.25E-2</v>
      </c>
      <c r="S7">
        <f t="shared" si="2"/>
        <v>-0.28867513459481292</v>
      </c>
      <c r="U7" s="26">
        <f t="shared" si="3"/>
        <v>-0.66322988644815983</v>
      </c>
      <c r="V7" s="26">
        <f t="shared" si="4"/>
        <v>-0.4689743501930777</v>
      </c>
      <c r="W7" s="26">
        <f t="shared" si="5"/>
        <v>-0.47</v>
      </c>
      <c r="X7">
        <f t="shared" si="6"/>
        <v>0.43987388227803897</v>
      </c>
      <c r="Y7">
        <f t="shared" si="7"/>
        <v>-0.33226327232448477</v>
      </c>
      <c r="Z7" s="33">
        <f t="shared" si="8"/>
        <v>-0.33</v>
      </c>
    </row>
    <row r="8" spans="7:26" x14ac:dyDescent="0.35">
      <c r="U8" s="26"/>
      <c r="V8" s="26"/>
      <c r="W8" s="26"/>
    </row>
    <row r="9" spans="7:26" x14ac:dyDescent="0.35">
      <c r="P9" t="s">
        <v>98</v>
      </c>
      <c r="R9">
        <f>SUM(R4:R7)</f>
        <v>0.75</v>
      </c>
      <c r="U9" s="26"/>
      <c r="V9" s="26">
        <f>V4^2+V5^2+V6^2+V7^2</f>
        <v>1.9922026100638293</v>
      </c>
      <c r="W9" s="34" t="s">
        <v>98</v>
      </c>
      <c r="X9" s="33">
        <f>SUM(X4:X7)</f>
        <v>3.9844052201276594</v>
      </c>
      <c r="Y9">
        <f>SUM(Y4:Y7)</f>
        <v>0</v>
      </c>
      <c r="Z9">
        <f>SUM(Z4:Z7)</f>
        <v>0</v>
      </c>
    </row>
    <row r="10" spans="7:26" x14ac:dyDescent="0.35">
      <c r="P10" t="s">
        <v>99</v>
      </c>
      <c r="R10">
        <f>SQRT(R9)</f>
        <v>0.8660254037844386</v>
      </c>
      <c r="W10" s="34" t="s">
        <v>102</v>
      </c>
      <c r="X10" s="33">
        <f>SQRT(X9)</f>
        <v>1.9960974976507684</v>
      </c>
    </row>
    <row r="12" spans="7:26" x14ac:dyDescent="0.35">
      <c r="Q12" t="s">
        <v>95</v>
      </c>
      <c r="S12" t="s">
        <v>101</v>
      </c>
      <c r="W12" t="s">
        <v>104</v>
      </c>
      <c r="X12">
        <f>SQRT(2)</f>
        <v>1.4142135623730951</v>
      </c>
    </row>
    <row r="13" spans="7:26" x14ac:dyDescent="0.35">
      <c r="O13">
        <v>70</v>
      </c>
      <c r="P13">
        <f>AVERAGE(O13:O16)</f>
        <v>81.25</v>
      </c>
      <c r="Q13">
        <f>O13-P13</f>
        <v>-11.25</v>
      </c>
      <c r="R13">
        <f>Q13^2</f>
        <v>126.5625</v>
      </c>
      <c r="S13">
        <f>Q13/$R$19</f>
        <v>-0.19829369215765427</v>
      </c>
    </row>
    <row r="14" spans="7:26" x14ac:dyDescent="0.35">
      <c r="O14">
        <v>130</v>
      </c>
      <c r="P14">
        <f>AVERAGE(O13:O16)</f>
        <v>81.25</v>
      </c>
      <c r="Q14">
        <f t="shared" ref="Q14:Q16" si="9">O14-P14</f>
        <v>48.75</v>
      </c>
      <c r="R14">
        <f t="shared" ref="R14:R16" si="10">Q14^2</f>
        <v>2376.5625</v>
      </c>
      <c r="S14">
        <f t="shared" ref="S14:S16" si="11">Q14/$R$19</f>
        <v>0.85927266601650187</v>
      </c>
    </row>
    <row r="15" spans="7:26" x14ac:dyDescent="0.35">
      <c r="O15">
        <v>65</v>
      </c>
      <c r="P15">
        <f>AVERAGE(O13:O16)</f>
        <v>81.25</v>
      </c>
      <c r="Q15">
        <f t="shared" si="9"/>
        <v>-16.25</v>
      </c>
      <c r="R15">
        <f t="shared" si="10"/>
        <v>264.0625</v>
      </c>
      <c r="S15">
        <f t="shared" si="11"/>
        <v>-0.28642422200550061</v>
      </c>
    </row>
    <row r="16" spans="7:26" x14ac:dyDescent="0.35">
      <c r="G16">
        <v>1</v>
      </c>
      <c r="H16">
        <v>3</v>
      </c>
      <c r="I16">
        <v>5</v>
      </c>
      <c r="J16">
        <f>G16</f>
        <v>1</v>
      </c>
      <c r="K16">
        <f>H16</f>
        <v>3</v>
      </c>
      <c r="O16">
        <v>60</v>
      </c>
      <c r="P16">
        <f>AVERAGE(O13:O16)</f>
        <v>81.25</v>
      </c>
      <c r="Q16">
        <f t="shared" si="9"/>
        <v>-21.25</v>
      </c>
      <c r="R16">
        <f t="shared" si="10"/>
        <v>451.5625</v>
      </c>
      <c r="S16">
        <f t="shared" si="11"/>
        <v>-0.37455475185334697</v>
      </c>
    </row>
    <row r="17" spans="7:18" x14ac:dyDescent="0.35">
      <c r="G17">
        <v>4</v>
      </c>
      <c r="H17">
        <v>-4</v>
      </c>
      <c r="I17">
        <v>9</v>
      </c>
      <c r="J17">
        <f t="shared" ref="J17:K18" si="12">G17</f>
        <v>4</v>
      </c>
      <c r="K17">
        <f t="shared" si="12"/>
        <v>-4</v>
      </c>
    </row>
    <row r="18" spans="7:18" x14ac:dyDescent="0.35">
      <c r="G18">
        <v>13</v>
      </c>
      <c r="H18">
        <v>7</v>
      </c>
      <c r="I18">
        <v>12</v>
      </c>
      <c r="J18">
        <f t="shared" si="12"/>
        <v>13</v>
      </c>
      <c r="K18">
        <f t="shared" si="12"/>
        <v>7</v>
      </c>
      <c r="Q18">
        <f>Q13^2+Q14^2+Q15^2+Q16^2</f>
        <v>3218.75</v>
      </c>
      <c r="R18">
        <f>SUM(R13:R16)</f>
        <v>3218.75</v>
      </c>
    </row>
    <row r="19" spans="7:18" x14ac:dyDescent="0.35">
      <c r="Q19">
        <f>SQRT(Q18)</f>
        <v>56.734028589551087</v>
      </c>
      <c r="R19">
        <f>SQRT(R18)</f>
        <v>56.734028589551087</v>
      </c>
    </row>
    <row r="20" spans="7:18" x14ac:dyDescent="0.35">
      <c r="G20">
        <f>G16*H17*I18</f>
        <v>-48</v>
      </c>
      <c r="H20">
        <f>H16*I17*J18</f>
        <v>351</v>
      </c>
      <c r="I20">
        <f>I16*J17*K18</f>
        <v>140</v>
      </c>
      <c r="K20">
        <f>G20+H20+I20</f>
        <v>443</v>
      </c>
    </row>
    <row r="21" spans="7:18" x14ac:dyDescent="0.35">
      <c r="G21">
        <f>G18*H17*I16</f>
        <v>-260</v>
      </c>
      <c r="H21">
        <f>H18*I17*J16</f>
        <v>63</v>
      </c>
      <c r="I21">
        <f>I18*J17*K16</f>
        <v>144</v>
      </c>
      <c r="K21">
        <f>G21+H21+I21</f>
        <v>-53</v>
      </c>
      <c r="L21" s="20">
        <f>K20-K21</f>
        <v>496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</vt:lpstr>
      <vt:lpstr>split1</vt:lpstr>
      <vt:lpstr>Sheet1</vt:lpstr>
      <vt:lpstr>st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2026-01-02T13:08:13Z</dcterms:modified>
</cp:coreProperties>
</file>