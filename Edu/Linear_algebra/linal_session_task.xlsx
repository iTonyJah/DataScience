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sogorA\DataScience\Edu\Linear_algebra\"/>
    </mc:Choice>
  </mc:AlternateContent>
  <xr:revisionPtr revIDLastSave="0" documentId="13_ncr:1_{74A692C3-DADE-4900-B0BC-8FD14E0A5956}" xr6:coauthVersionLast="47" xr6:coauthVersionMax="47" xr10:uidLastSave="{00000000-0000-0000-0000-000000000000}"/>
  <bookViews>
    <workbookView xWindow="-120" yWindow="-120" windowWidth="29040" windowHeight="15720" activeTab="1" xr2:uid="{6B48EADF-CD2A-4593-B5B4-C8A55DF2A88B}"/>
  </bookViews>
  <sheets>
    <sheet name="calc" sheetId="1" r:id="rId1"/>
    <sheet name="split1" sheetId="4" r:id="rId2"/>
    <sheet name="Sheet1" sheetId="2" r:id="rId3"/>
    <sheet name="s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4" l="1"/>
  <c r="I28" i="4"/>
  <c r="H28" i="4"/>
  <c r="K28" i="4"/>
  <c r="K26" i="4"/>
  <c r="J26" i="4"/>
  <c r="I26" i="4"/>
  <c r="H26" i="4"/>
  <c r="K25" i="4"/>
  <c r="J25" i="4"/>
  <c r="I25" i="4"/>
  <c r="H25" i="4"/>
  <c r="K24" i="4"/>
  <c r="J24" i="4"/>
  <c r="I24" i="4"/>
  <c r="H24" i="4"/>
  <c r="K23" i="4"/>
  <c r="J23" i="4"/>
  <c r="I23" i="4"/>
  <c r="H23" i="4"/>
  <c r="F28" i="4"/>
  <c r="E28" i="4"/>
  <c r="D28" i="4"/>
  <c r="C28" i="4"/>
  <c r="K15" i="4"/>
  <c r="J15" i="4"/>
  <c r="I15" i="4"/>
  <c r="H15" i="4"/>
  <c r="F26" i="4"/>
  <c r="E26" i="4"/>
  <c r="D26" i="4"/>
  <c r="F25" i="4"/>
  <c r="E25" i="4"/>
  <c r="D25" i="4"/>
  <c r="F24" i="4"/>
  <c r="E24" i="4"/>
  <c r="D24" i="4"/>
  <c r="F23" i="4"/>
  <c r="E23" i="4"/>
  <c r="D23" i="4"/>
  <c r="C26" i="4"/>
  <c r="C25" i="4"/>
  <c r="C24" i="4"/>
  <c r="C23" i="4"/>
  <c r="F21" i="4"/>
  <c r="E21" i="4"/>
  <c r="D21" i="4"/>
  <c r="C21" i="4"/>
  <c r="F20" i="4"/>
  <c r="E20" i="4"/>
  <c r="D20" i="4"/>
  <c r="C20" i="4"/>
  <c r="F18" i="4"/>
  <c r="E18" i="4"/>
  <c r="D18" i="4"/>
  <c r="C18" i="4"/>
  <c r="F17" i="4"/>
  <c r="E17" i="4"/>
  <c r="D17" i="4"/>
  <c r="C17" i="4"/>
  <c r="F16" i="4"/>
  <c r="E16" i="4"/>
  <c r="D16" i="4"/>
  <c r="C16" i="4"/>
  <c r="F15" i="4"/>
  <c r="E15" i="4"/>
  <c r="D15" i="4"/>
  <c r="C15" i="4"/>
  <c r="K8" i="4"/>
  <c r="K10" i="4" s="1"/>
  <c r="J8" i="4"/>
  <c r="J10" i="4" s="1"/>
  <c r="I8" i="4"/>
  <c r="I10" i="4" s="1"/>
  <c r="H8" i="4"/>
  <c r="H10" i="4" s="1"/>
  <c r="F8" i="4"/>
  <c r="F13" i="4" s="1"/>
  <c r="E8" i="4"/>
  <c r="E13" i="4" s="1"/>
  <c r="D8" i="4"/>
  <c r="D13" i="4" s="1"/>
  <c r="C8" i="4"/>
  <c r="C13" i="4" s="1"/>
  <c r="J81" i="3"/>
  <c r="K81" i="3"/>
  <c r="L81" i="3"/>
  <c r="M81" i="3"/>
  <c r="N81" i="3"/>
  <c r="O81" i="3"/>
  <c r="O80" i="3"/>
  <c r="N80" i="3"/>
  <c r="M80" i="3"/>
  <c r="L80" i="3"/>
  <c r="K80" i="3"/>
  <c r="J80" i="3"/>
  <c r="Q80" i="3" s="1"/>
  <c r="O79" i="3"/>
  <c r="N79" i="3"/>
  <c r="M79" i="3"/>
  <c r="L79" i="3"/>
  <c r="K79" i="3"/>
  <c r="J79" i="3"/>
  <c r="Q79" i="3" s="1"/>
  <c r="O78" i="3"/>
  <c r="N78" i="3"/>
  <c r="M78" i="3"/>
  <c r="L78" i="3"/>
  <c r="K78" i="3"/>
  <c r="J78" i="3"/>
  <c r="O77" i="3"/>
  <c r="N77" i="3"/>
  <c r="M77" i="3"/>
  <c r="L77" i="3"/>
  <c r="K77" i="3"/>
  <c r="J77" i="3"/>
  <c r="Q73" i="3"/>
  <c r="Q72" i="3"/>
  <c r="Q71" i="3"/>
  <c r="Q70" i="3"/>
  <c r="Q69" i="3"/>
  <c r="O73" i="3"/>
  <c r="N73" i="3"/>
  <c r="M73" i="3"/>
  <c r="L73" i="3"/>
  <c r="K73" i="3"/>
  <c r="J73" i="3"/>
  <c r="O72" i="3"/>
  <c r="N72" i="3"/>
  <c r="M72" i="3"/>
  <c r="L72" i="3"/>
  <c r="K72" i="3"/>
  <c r="J72" i="3"/>
  <c r="O71" i="3"/>
  <c r="N71" i="3"/>
  <c r="M71" i="3"/>
  <c r="L71" i="3"/>
  <c r="K71" i="3"/>
  <c r="J71" i="3"/>
  <c r="O70" i="3"/>
  <c r="N70" i="3"/>
  <c r="M70" i="3"/>
  <c r="L70" i="3"/>
  <c r="L75" i="3" s="1"/>
  <c r="K70" i="3"/>
  <c r="J70" i="3"/>
  <c r="O69" i="3"/>
  <c r="O75" i="3" s="1"/>
  <c r="N69" i="3"/>
  <c r="N75" i="3" s="1"/>
  <c r="M69" i="3"/>
  <c r="M75" i="3" s="1"/>
  <c r="L69" i="3"/>
  <c r="K69" i="3"/>
  <c r="K75" i="3" s="1"/>
  <c r="J69" i="3"/>
  <c r="J75" i="3" s="1"/>
  <c r="J53" i="3"/>
  <c r="J54" i="3"/>
  <c r="J55" i="3"/>
  <c r="J56" i="3"/>
  <c r="J52" i="3"/>
  <c r="I60" i="3"/>
  <c r="I64" i="3"/>
  <c r="I59" i="3"/>
  <c r="R38" i="3"/>
  <c r="R37" i="3"/>
  <c r="R36" i="3"/>
  <c r="R35" i="3"/>
  <c r="R34" i="3"/>
  <c r="R33" i="3"/>
  <c r="Q40" i="3"/>
  <c r="M40" i="3"/>
  <c r="L39" i="3"/>
  <c r="K38" i="3"/>
  <c r="J37" i="3"/>
  <c r="I36" i="3"/>
  <c r="I48" i="3"/>
  <c r="I43" i="3"/>
  <c r="K12" i="3"/>
  <c r="K13" i="3" s="1"/>
  <c r="R9" i="3"/>
  <c r="O9" i="3"/>
  <c r="L9" i="3"/>
  <c r="I9" i="3"/>
  <c r="F9" i="3"/>
  <c r="B9" i="3"/>
  <c r="E155" i="1"/>
  <c r="G156" i="1" s="1"/>
  <c r="C10" i="4" l="1"/>
  <c r="C11" i="4"/>
  <c r="C12" i="4"/>
  <c r="D10" i="4"/>
  <c r="D11" i="4"/>
  <c r="D12" i="4"/>
  <c r="E10" i="4"/>
  <c r="E11" i="4"/>
  <c r="E12" i="4"/>
  <c r="F10" i="4"/>
  <c r="F11" i="4"/>
  <c r="F12" i="4"/>
  <c r="Q77" i="3"/>
  <c r="Q78" i="3"/>
  <c r="Q81" i="3"/>
  <c r="M83" i="3"/>
  <c r="K83" i="3"/>
  <c r="O83" i="3"/>
  <c r="N83" i="3"/>
  <c r="L83" i="3"/>
  <c r="J83" i="3"/>
  <c r="R40" i="3"/>
  <c r="R41" i="3" s="1"/>
  <c r="S38" i="3" s="1"/>
  <c r="T38" i="3" s="1"/>
  <c r="S37" i="3"/>
  <c r="T37" i="3" s="1"/>
  <c r="S35" i="3"/>
  <c r="T35" i="3" s="1"/>
  <c r="S34" i="3"/>
  <c r="T34" i="3" s="1"/>
  <c r="C153" i="1"/>
  <c r="C154" i="1" s="1"/>
  <c r="E149" i="1"/>
  <c r="E150" i="1" s="1"/>
  <c r="D150" i="1"/>
  <c r="R26" i="3"/>
  <c r="S24" i="3"/>
  <c r="T24" i="3" s="1"/>
  <c r="K4" i="3"/>
  <c r="K5" i="3" s="1"/>
  <c r="K6" i="3" s="1"/>
  <c r="K7" i="3" s="1"/>
  <c r="M12" i="3"/>
  <c r="F20" i="3" s="1"/>
  <c r="F28" i="3" s="1"/>
  <c r="Q11" i="3"/>
  <c r="Q12" i="3" s="1"/>
  <c r="Q13" i="3" s="1"/>
  <c r="S13" i="3" s="1"/>
  <c r="H21" i="3" s="1"/>
  <c r="H29" i="3" s="1"/>
  <c r="N12" i="3"/>
  <c r="N13" i="3" s="1"/>
  <c r="P14" i="3" s="1"/>
  <c r="G22" i="3" s="1"/>
  <c r="G30" i="3" s="1"/>
  <c r="M15" i="3"/>
  <c r="F23" i="3" s="1"/>
  <c r="F31" i="3" s="1"/>
  <c r="H13" i="3"/>
  <c r="J12" i="3" s="1"/>
  <c r="E20" i="3" s="1"/>
  <c r="E28" i="3" s="1"/>
  <c r="E10" i="3"/>
  <c r="E12" i="3" s="1"/>
  <c r="E13" i="3" s="1"/>
  <c r="G13" i="3" s="1"/>
  <c r="D21" i="3" s="1"/>
  <c r="D29" i="3" s="1"/>
  <c r="A13" i="3"/>
  <c r="C14" i="3" s="1"/>
  <c r="C22" i="3" s="1"/>
  <c r="C30" i="3" s="1"/>
  <c r="F72" i="2"/>
  <c r="H72" i="2" s="1"/>
  <c r="J69" i="2"/>
  <c r="G68" i="2"/>
  <c r="H69" i="2" s="1"/>
  <c r="I69" i="2" s="1"/>
  <c r="F61" i="2"/>
  <c r="F57" i="2"/>
  <c r="F55" i="2"/>
  <c r="I53" i="2"/>
  <c r="I45" i="2"/>
  <c r="I37" i="2"/>
  <c r="G37" i="2"/>
  <c r="J37" i="2" s="1"/>
  <c r="G36" i="2"/>
  <c r="G39" i="2" s="1"/>
  <c r="F50" i="2"/>
  <c r="F48" i="2"/>
  <c r="F51" i="2" s="1"/>
  <c r="F45" i="2"/>
  <c r="F38" i="2"/>
  <c r="F39" i="2" s="1"/>
  <c r="B16" i="2"/>
  <c r="C16" i="2" s="1"/>
  <c r="D16" i="2" s="1"/>
  <c r="B18" i="2"/>
  <c r="C18" i="2" s="1"/>
  <c r="D18" i="2" s="1"/>
  <c r="C17" i="2"/>
  <c r="D17" i="2" s="1"/>
  <c r="D4" i="2"/>
  <c r="E4" i="2" s="1"/>
  <c r="F4" i="2" s="1"/>
  <c r="G4" i="2" s="1"/>
  <c r="D3" i="2"/>
  <c r="E3" i="2" s="1"/>
  <c r="F3" i="2" s="1"/>
  <c r="G3" i="2" s="1"/>
  <c r="X129" i="1"/>
  <c r="X131" i="1" s="1"/>
  <c r="X128" i="1"/>
  <c r="W131" i="1"/>
  <c r="W132" i="1" s="1"/>
  <c r="S130" i="1"/>
  <c r="R130" i="1"/>
  <c r="N142" i="1"/>
  <c r="O142" i="1" s="1"/>
  <c r="N140" i="1"/>
  <c r="Q83" i="3" l="1"/>
  <c r="S36" i="3"/>
  <c r="T36" i="3" s="1"/>
  <c r="S33" i="3"/>
  <c r="T33" i="3" s="1"/>
  <c r="T40" i="3"/>
  <c r="S11" i="3"/>
  <c r="H19" i="3" s="1"/>
  <c r="H27" i="3" s="1"/>
  <c r="R27" i="3"/>
  <c r="F41" i="2"/>
  <c r="H41" i="2" s="1"/>
  <c r="M45" i="2"/>
  <c r="N45" i="2" s="1"/>
  <c r="O45" i="2" s="1"/>
  <c r="H39" i="2"/>
  <c r="J39" i="2"/>
  <c r="J53" i="2"/>
  <c r="G45" i="2"/>
  <c r="J38" i="2"/>
  <c r="F42" i="2"/>
  <c r="C15" i="3"/>
  <c r="C23" i="3" s="1"/>
  <c r="C31" i="3" s="1"/>
  <c r="B15" i="2"/>
  <c r="G11" i="3"/>
  <c r="D19" i="3" s="1"/>
  <c r="P11" i="3"/>
  <c r="G19" i="3" s="1"/>
  <c r="G27" i="3" s="1"/>
  <c r="S14" i="3"/>
  <c r="H22" i="3" s="1"/>
  <c r="H30" i="3" s="1"/>
  <c r="J7" i="3"/>
  <c r="K8" i="3" s="1"/>
  <c r="C11" i="3"/>
  <c r="C19" i="3" s="1"/>
  <c r="G14" i="3"/>
  <c r="D22" i="3" s="1"/>
  <c r="D30" i="3" s="1"/>
  <c r="P12" i="3"/>
  <c r="G20" i="3" s="1"/>
  <c r="G28" i="3" s="1"/>
  <c r="S15" i="3"/>
  <c r="H23" i="3" s="1"/>
  <c r="H31" i="3" s="1"/>
  <c r="C12" i="3"/>
  <c r="C20" i="3" s="1"/>
  <c r="C28" i="3" s="1"/>
  <c r="G15" i="3"/>
  <c r="D23" i="3" s="1"/>
  <c r="D31" i="3" s="1"/>
  <c r="P15" i="3"/>
  <c r="G23" i="3" s="1"/>
  <c r="J14" i="3"/>
  <c r="E22" i="3" s="1"/>
  <c r="E30" i="3" s="1"/>
  <c r="C13" i="3"/>
  <c r="C21" i="3" s="1"/>
  <c r="C29" i="3" s="1"/>
  <c r="G12" i="3"/>
  <c r="D20" i="3" s="1"/>
  <c r="D28" i="3" s="1"/>
  <c r="J11" i="3"/>
  <c r="E19" i="3" s="1"/>
  <c r="J15" i="3"/>
  <c r="E23" i="3" s="1"/>
  <c r="E31" i="3" s="1"/>
  <c r="M14" i="3"/>
  <c r="F22" i="3" s="1"/>
  <c r="F30" i="3" s="1"/>
  <c r="P13" i="3"/>
  <c r="G21" i="3" s="1"/>
  <c r="G29" i="3" s="1"/>
  <c r="S12" i="3"/>
  <c r="H20" i="3" s="1"/>
  <c r="H28" i="3" s="1"/>
  <c r="J13" i="3"/>
  <c r="E21" i="3" s="1"/>
  <c r="E29" i="3" s="1"/>
  <c r="M13" i="3"/>
  <c r="F21" i="3" s="1"/>
  <c r="F29" i="3" s="1"/>
  <c r="M11" i="3"/>
  <c r="F19" i="3" s="1"/>
  <c r="F27" i="3" s="1"/>
  <c r="B19" i="2"/>
  <c r="B20" i="2" s="1"/>
  <c r="C20" i="2"/>
  <c r="D20" i="2" s="1"/>
  <c r="B21" i="2"/>
  <c r="J141" i="1"/>
  <c r="K139" i="1"/>
  <c r="H139" i="1"/>
  <c r="L132" i="1"/>
  <c r="M132" i="1" s="1"/>
  <c r="N132" i="1" s="1"/>
  <c r="P132" i="1" s="1"/>
  <c r="I136" i="1"/>
  <c r="J135" i="1"/>
  <c r="H135" i="1"/>
  <c r="H132" i="1"/>
  <c r="F132" i="1" s="1"/>
  <c r="I133" i="1"/>
  <c r="J132" i="1"/>
  <c r="P125" i="1"/>
  <c r="Q125" i="1" s="1"/>
  <c r="M127" i="1"/>
  <c r="M126" i="1"/>
  <c r="M125" i="1"/>
  <c r="M124" i="1"/>
  <c r="M123" i="1"/>
  <c r="H125" i="1"/>
  <c r="I125" i="1" s="1"/>
  <c r="J125" i="1" s="1"/>
  <c r="G127" i="1"/>
  <c r="H127" i="1" s="1"/>
  <c r="I127" i="1" s="1"/>
  <c r="J127" i="1" s="1"/>
  <c r="G126" i="1"/>
  <c r="P126" i="1" s="1"/>
  <c r="Q126" i="1" s="1"/>
  <c r="G125" i="1"/>
  <c r="G124" i="1"/>
  <c r="P124" i="1" s="1"/>
  <c r="Q124" i="1" s="1"/>
  <c r="G123" i="1"/>
  <c r="P123" i="1" s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F33" i="3" l="1"/>
  <c r="J29" i="3"/>
  <c r="J28" i="3"/>
  <c r="J30" i="3"/>
  <c r="Q123" i="1"/>
  <c r="B14" i="2"/>
  <c r="C15" i="2"/>
  <c r="D15" i="2" s="1"/>
  <c r="H126" i="1"/>
  <c r="I126" i="1" s="1"/>
  <c r="H33" i="3"/>
  <c r="E27" i="3"/>
  <c r="E25" i="3"/>
  <c r="G25" i="3"/>
  <c r="G31" i="3"/>
  <c r="J31" i="3" s="1"/>
  <c r="P127" i="1"/>
  <c r="Q127" i="1" s="1"/>
  <c r="G33" i="3"/>
  <c r="H42" i="2"/>
  <c r="J41" i="2"/>
  <c r="L41" i="2" s="1"/>
  <c r="H25" i="3"/>
  <c r="H123" i="1"/>
  <c r="I123" i="1" s="1"/>
  <c r="H124" i="1"/>
  <c r="I124" i="1" s="1"/>
  <c r="C19" i="2"/>
  <c r="D19" i="2" s="1"/>
  <c r="C27" i="3"/>
  <c r="C25" i="3"/>
  <c r="D27" i="3"/>
  <c r="D25" i="3"/>
  <c r="F25" i="3"/>
  <c r="C21" i="2"/>
  <c r="D21" i="2" s="1"/>
  <c r="B22" i="2"/>
  <c r="AA118" i="1"/>
  <c r="AB118" i="1" s="1"/>
  <c r="AA117" i="1"/>
  <c r="AB117" i="1" s="1"/>
  <c r="AA115" i="1"/>
  <c r="R113" i="1"/>
  <c r="O113" i="1"/>
  <c r="R105" i="1"/>
  <c r="R109" i="1"/>
  <c r="N108" i="1"/>
  <c r="N107" i="1"/>
  <c r="N106" i="1"/>
  <c r="N105" i="1"/>
  <c r="N109" i="1" s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E33" i="3" l="1"/>
  <c r="D33" i="3"/>
  <c r="C33" i="3"/>
  <c r="J27" i="3"/>
  <c r="J123" i="1"/>
  <c r="K123" i="1"/>
  <c r="C14" i="2"/>
  <c r="D14" i="2" s="1"/>
  <c r="B13" i="2"/>
  <c r="C13" i="2" s="1"/>
  <c r="D13" i="2" s="1"/>
  <c r="K124" i="1"/>
  <c r="J124" i="1"/>
  <c r="P129" i="1"/>
  <c r="J126" i="1"/>
  <c r="K126" i="1"/>
  <c r="Q129" i="1"/>
  <c r="B23" i="2"/>
  <c r="C22" i="2"/>
  <c r="D22" i="2" s="1"/>
  <c r="S115" i="1"/>
  <c r="W115" i="1" s="1"/>
  <c r="X115" i="1" s="1"/>
  <c r="T114" i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AB115" i="1" l="1"/>
  <c r="AC115" i="1" s="1"/>
  <c r="J129" i="1"/>
  <c r="C23" i="2"/>
  <c r="D23" i="2" s="1"/>
  <c r="B24" i="2"/>
  <c r="K104" i="1"/>
  <c r="J104" i="1"/>
  <c r="B109" i="1"/>
  <c r="B113" i="1" s="1"/>
  <c r="B112" i="1"/>
  <c r="E114" i="1"/>
  <c r="K105" i="1"/>
  <c r="J105" i="1"/>
  <c r="J103" i="1"/>
  <c r="K103" i="1"/>
  <c r="J102" i="1"/>
  <c r="K102" i="1"/>
  <c r="I109" i="1"/>
  <c r="I115" i="1" s="1"/>
  <c r="F114" i="1"/>
  <c r="F113" i="1"/>
  <c r="D109" i="1"/>
  <c r="D115" i="1" s="1"/>
  <c r="G109" i="1"/>
  <c r="D112" i="1"/>
  <c r="D113" i="1"/>
  <c r="F109" i="1"/>
  <c r="F111" i="1" s="1"/>
  <c r="E109" i="1"/>
  <c r="E113" i="1" s="1"/>
  <c r="C109" i="1"/>
  <c r="C112" i="1" s="1"/>
  <c r="D111" i="1" l="1"/>
  <c r="F115" i="1"/>
  <c r="J107" i="1"/>
  <c r="K107" i="1" s="1"/>
  <c r="B111" i="1"/>
  <c r="J130" i="1"/>
  <c r="K135" i="1"/>
  <c r="L135" i="1" s="1"/>
  <c r="M135" i="1" s="1"/>
  <c r="J133" i="1"/>
  <c r="D114" i="1"/>
  <c r="E115" i="1"/>
  <c r="B25" i="2"/>
  <c r="C24" i="2"/>
  <c r="D24" i="2" s="1"/>
  <c r="C114" i="1"/>
  <c r="I111" i="1"/>
  <c r="B115" i="1"/>
  <c r="E112" i="1"/>
  <c r="B114" i="1"/>
  <c r="I113" i="1"/>
  <c r="E111" i="1"/>
  <c r="C111" i="1"/>
  <c r="F112" i="1"/>
  <c r="I112" i="1"/>
  <c r="C115" i="1"/>
  <c r="C113" i="1"/>
  <c r="I114" i="1"/>
  <c r="B26" i="2" l="1"/>
  <c r="C25" i="2"/>
  <c r="D25" i="2" s="1"/>
  <c r="B27" i="2" l="1"/>
  <c r="C26" i="2"/>
  <c r="D26" i="2" s="1"/>
  <c r="C27" i="2" l="1"/>
  <c r="D27" i="2" s="1"/>
  <c r="B28" i="2"/>
  <c r="B29" i="2" l="1"/>
  <c r="C28" i="2"/>
  <c r="D28" i="2" s="1"/>
  <c r="C29" i="2" l="1"/>
  <c r="D29" i="2" s="1"/>
  <c r="B30" i="2"/>
  <c r="B31" i="2" l="1"/>
  <c r="C30" i="2"/>
  <c r="D30" i="2" s="1"/>
  <c r="B32" i="2" l="1"/>
  <c r="C31" i="2"/>
  <c r="D31" i="2" s="1"/>
  <c r="C32" i="2" l="1"/>
  <c r="D32" i="2" s="1"/>
  <c r="B33" i="2"/>
  <c r="C33" i="2" l="1"/>
  <c r="D33" i="2" s="1"/>
  <c r="B34" i="2"/>
  <c r="B35" i="2" l="1"/>
  <c r="C34" i="2"/>
  <c r="D34" i="2" s="1"/>
  <c r="B36" i="2" l="1"/>
  <c r="C35" i="2"/>
  <c r="D35" i="2" s="1"/>
  <c r="B37" i="2" l="1"/>
  <c r="C36" i="2"/>
  <c r="D36" i="2" s="1"/>
  <c r="C37" i="2" l="1"/>
  <c r="D37" i="2" s="1"/>
  <c r="B38" i="2"/>
  <c r="B39" i="2" l="1"/>
  <c r="C38" i="2"/>
  <c r="D38" i="2" s="1"/>
  <c r="C39" i="2" l="1"/>
  <c r="D39" i="2" s="1"/>
  <c r="B40" i="2"/>
  <c r="B41" i="2" l="1"/>
  <c r="C40" i="2"/>
  <c r="D40" i="2" s="1"/>
  <c r="B42" i="2" l="1"/>
  <c r="C41" i="2"/>
  <c r="D41" i="2" s="1"/>
  <c r="B43" i="2" l="1"/>
  <c r="C42" i="2"/>
  <c r="D42" i="2" s="1"/>
  <c r="C43" i="2" l="1"/>
  <c r="D43" i="2" s="1"/>
  <c r="B44" i="2"/>
  <c r="C44" i="2" l="1"/>
  <c r="D44" i="2" s="1"/>
  <c r="B45" i="2"/>
  <c r="B46" i="2" l="1"/>
  <c r="C45" i="2"/>
  <c r="D45" i="2" s="1"/>
  <c r="C46" i="2" l="1"/>
  <c r="D46" i="2" s="1"/>
  <c r="B47" i="2"/>
  <c r="C47" i="2" l="1"/>
  <c r="D47" i="2" s="1"/>
  <c r="B48" i="2"/>
  <c r="C48" i="2" l="1"/>
  <c r="D48" i="2" s="1"/>
  <c r="B49" i="2"/>
  <c r="B50" i="2" l="1"/>
  <c r="C49" i="2"/>
  <c r="D49" i="2" s="1"/>
  <c r="C50" i="2" l="1"/>
  <c r="D50" i="2" s="1"/>
  <c r="B51" i="2"/>
  <c r="C51" i="2" l="1"/>
  <c r="D51" i="2" s="1"/>
  <c r="B52" i="2"/>
  <c r="B53" i="2" l="1"/>
  <c r="C52" i="2"/>
  <c r="D52" i="2" s="1"/>
  <c r="C53" i="2" l="1"/>
  <c r="D53" i="2" s="1"/>
  <c r="B54" i="2"/>
  <c r="C54" i="2" l="1"/>
  <c r="D54" i="2" s="1"/>
  <c r="B55" i="2"/>
  <c r="C55" i="2" l="1"/>
  <c r="D55" i="2" s="1"/>
  <c r="B56" i="2"/>
  <c r="C56" i="2" l="1"/>
  <c r="D56" i="2" s="1"/>
  <c r="B57" i="2"/>
  <c r="C57" i="2" l="1"/>
  <c r="D57" i="2" s="1"/>
  <c r="B58" i="2"/>
  <c r="C58" i="2" s="1"/>
  <c r="D58" i="2" s="1"/>
</calcChain>
</file>

<file path=xl/sharedStrings.xml><?xml version="1.0" encoding="utf-8"?>
<sst xmlns="http://schemas.openxmlformats.org/spreadsheetml/2006/main" count="131" uniqueCount="105">
  <si>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</si>
  <si>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</si>
  <si>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</si>
  <si>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</si>
  <si>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</si>
  <si>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</si>
  <si>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</si>
  <si>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</si>
  <si>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</si>
  <si>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</si>
  <si>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</si>
  <si>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</si>
  <si>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</si>
  <si>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</si>
  <si>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</si>
  <si>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</si>
  <si>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</si>
  <si>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</si>
  <si>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</si>
  <si>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</si>
  <si>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</si>
  <si>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</si>
  <si>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</si>
  <si>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</si>
  <si>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</si>
  <si>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</si>
  <si>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</si>
  <si>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</si>
  <si>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</si>
  <si>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</si>
  <si>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</si>
  <si>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</si>
  <si>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</si>
  <si>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</si>
  <si>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</si>
  <si>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</si>
  <si>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</si>
  <si>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</si>
  <si>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</si>
  <si>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</si>
  <si>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</si>
  <si>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</si>
  <si>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</si>
  <si>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</si>
  <si>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</si>
  <si>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</si>
  <si>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</si>
  <si>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</si>
  <si>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</si>
  <si>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</si>
  <si>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</si>
  <si>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</si>
  <si>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</si>
  <si>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</si>
  <si>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</si>
  <si>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</si>
  <si>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</si>
  <si>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</si>
  <si>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</si>
  <si>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</si>
  <si>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</si>
  <si>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</si>
  <si>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</si>
  <si>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</si>
  <si>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</si>
  <si>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</si>
  <si>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</si>
  <si>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</si>
  <si>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</si>
  <si>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</si>
  <si>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</si>
  <si>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</si>
  <si>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</si>
  <si>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</si>
  <si>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</si>
  <si>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</si>
  <si>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</si>
  <si>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</si>
  <si>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</si>
  <si>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</si>
  <si>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</si>
  <si>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</si>
  <si>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</si>
  <si>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</si>
  <si>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</si>
  <si>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</si>
  <si>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</si>
  <si>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</si>
  <si>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</si>
  <si>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</si>
  <si>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</si>
  <si>
    <t>меньше половины</t>
  </si>
  <si>
    <t>x_1</t>
  </si>
  <si>
    <t>x_2</t>
  </si>
  <si>
    <t>x_3</t>
  </si>
  <si>
    <t>x_4</t>
  </si>
  <si>
    <t>x_5</t>
  </si>
  <si>
    <t>y</t>
  </si>
  <si>
    <t>среднее</t>
  </si>
  <si>
    <t>центрированые</t>
  </si>
  <si>
    <t>длина ц.в.</t>
  </si>
  <si>
    <t>standart</t>
  </si>
  <si>
    <t>check</t>
  </si>
  <si>
    <t>Спальный</t>
  </si>
  <si>
    <t>Центральный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</si>
</sst>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000"/>
    <numFmt numFmtId="166" formatCode="0.00000"/>
  </numFmts>
  <fonts count="12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5" fillId="0" borderId="0" xfId="0" applyNumberFormat="1" applyFont="1"/>
    <xf numFmtId="164" fontId="0" fillId="0" borderId="2" xfId="0" applyNumberFormat="1" applyBorder="1"/>
    <xf numFmtId="165" fontId="0" fillId="0" borderId="0" xfId="0" applyNumberFormat="1"/>
    <xf numFmtId="0" fontId="0" fillId="6" borderId="0" xfId="0" applyFill="1"/>
    <xf numFmtId="166" fontId="0" fillId="0" borderId="0" xfId="0" applyNumberFormat="1"/>
    <xf numFmtId="165" fontId="10" fillId="6" borderId="0" xfId="0" applyNumberFormat="1" applyFont="1" applyFill="1"/>
    <xf numFmtId="165" fontId="10" fillId="7" borderId="0" xfId="0" applyNumberFormat="1" applyFont="1" applyFill="1"/>
    <xf numFmtId="165" fontId="6" fillId="0" borderId="0" xfId="0" applyNumberFormat="1" applyFont="1"/>
    <xf numFmtId="165" fontId="11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A1:AD156"/>
  <sheetViews>
    <sheetView topLeftCell="A82" workbookViewId="0">
      <selection activeCell="B89" sqref="B89:I95"/>
    </sheetView>
  </sheetViews>
  <sheetFormatPr defaultRowHeight="15" x14ac:dyDescent="0.25"/>
  <cols>
    <col min="25" max="25" width="12.7109375" customWidth="1"/>
  </cols>
  <sheetData>
    <row r="1" spans="1:7" ht="15.75" thickBot="1" x14ac:dyDescent="0.3">
      <c r="A1" s="5" t="s">
        <v>0</v>
      </c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.75" thickBot="1" x14ac:dyDescent="0.3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.75" thickBot="1" x14ac:dyDescent="0.3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.75" thickBot="1" x14ac:dyDescent="0.3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.75" thickBot="1" x14ac:dyDescent="0.3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.75" thickBot="1" x14ac:dyDescent="0.3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.25" x14ac:dyDescent="0.35">
      <c r="A9" s="4" t="s">
        <v>10</v>
      </c>
    </row>
    <row r="11" spans="1:7" x14ac:dyDescent="0.25">
      <c r="A11" t="s">
        <v>11</v>
      </c>
    </row>
    <row r="12" spans="1:7" x14ac:dyDescent="0.25">
      <c r="A12" t="s">
        <v>12</v>
      </c>
    </row>
    <row r="14" spans="1:7" x14ac:dyDescent="0.25">
      <c r="C14" t="s">
        <v>13</v>
      </c>
    </row>
    <row r="15" spans="1:7" x14ac:dyDescent="0.25">
      <c r="C15" t="s">
        <v>14</v>
      </c>
    </row>
    <row r="17" spans="1:7" ht="15.75" thickBot="1" x14ac:dyDescent="0.3">
      <c r="A17" t="s">
        <v>8</v>
      </c>
      <c r="E17" t="s">
        <v>9</v>
      </c>
    </row>
    <row r="18" spans="1:7" ht="15.75" thickBot="1" x14ac:dyDescent="0.3">
      <c r="A18" s="2">
        <v>3</v>
      </c>
      <c r="B18" s="2">
        <v>51</v>
      </c>
      <c r="C18" s="2">
        <v>3</v>
      </c>
      <c r="E18" s="2">
        <v>2200</v>
      </c>
    </row>
    <row r="19" spans="1:7" ht="15.75" thickBot="1" x14ac:dyDescent="0.3">
      <c r="A19" s="3">
        <v>1</v>
      </c>
      <c r="B19" s="3">
        <v>30</v>
      </c>
      <c r="C19" s="3">
        <v>1</v>
      </c>
      <c r="E19" s="3">
        <v>1600</v>
      </c>
    </row>
    <row r="20" spans="1:7" ht="15.75" thickBot="1" x14ac:dyDescent="0.3">
      <c r="A20" s="3">
        <v>2</v>
      </c>
      <c r="B20" s="3">
        <v>45</v>
      </c>
      <c r="C20" s="3">
        <v>2</v>
      </c>
      <c r="E20" s="3">
        <v>1900</v>
      </c>
    </row>
    <row r="22" spans="1:7" x14ac:dyDescent="0.25">
      <c r="A22" s="6" t="s">
        <v>15</v>
      </c>
    </row>
    <row r="24" spans="1:7" x14ac:dyDescent="0.25">
      <c r="A24" t="s">
        <v>16</v>
      </c>
    </row>
    <row r="25" spans="1:7" x14ac:dyDescent="0.25">
      <c r="A25" t="s">
        <v>23</v>
      </c>
    </row>
    <row r="26" spans="1:7" x14ac:dyDescent="0.25">
      <c r="A26" t="s">
        <v>19</v>
      </c>
      <c r="G26" t="s">
        <v>20</v>
      </c>
    </row>
    <row r="27" spans="1:7" x14ac:dyDescent="0.25">
      <c r="A27" t="s">
        <v>18</v>
      </c>
    </row>
    <row r="28" spans="1:7" x14ac:dyDescent="0.25">
      <c r="A28" t="s">
        <v>21</v>
      </c>
      <c r="G28" t="s">
        <v>20</v>
      </c>
    </row>
    <row r="29" spans="1:7" x14ac:dyDescent="0.25">
      <c r="A29" t="s">
        <v>22</v>
      </c>
    </row>
    <row r="30" spans="1:7" x14ac:dyDescent="0.25">
      <c r="A30" t="s">
        <v>24</v>
      </c>
    </row>
    <row r="31" spans="1:7" x14ac:dyDescent="0.25">
      <c r="A31" t="s">
        <v>25</v>
      </c>
    </row>
    <row r="33" spans="1:12" ht="15.75" x14ac:dyDescent="0.25">
      <c r="A33" s="14" t="s">
        <v>26</v>
      </c>
    </row>
    <row r="34" spans="1:12" x14ac:dyDescent="0.25">
      <c r="A34" s="6" t="s">
        <v>17</v>
      </c>
    </row>
    <row r="35" spans="1:12" x14ac:dyDescent="0.25">
      <c r="A35" t="s">
        <v>27</v>
      </c>
    </row>
    <row r="36" spans="1:12" x14ac:dyDescent="0.25">
      <c r="A36" t="s">
        <v>29</v>
      </c>
    </row>
    <row r="37" spans="1:12" x14ac:dyDescent="0.25">
      <c r="A37" s="10" t="s">
        <v>28</v>
      </c>
      <c r="G37" s="6" t="s">
        <v>8</v>
      </c>
      <c r="J37" s="10" t="s">
        <v>9</v>
      </c>
    </row>
    <row r="38" spans="1:12" x14ac:dyDescent="0.2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2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2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25">
      <c r="B41" s="11" t="s">
        <v>50</v>
      </c>
    </row>
    <row r="42" spans="1:12" x14ac:dyDescent="0.25">
      <c r="A42" t="s">
        <v>33</v>
      </c>
    </row>
    <row r="43" spans="1:12" x14ac:dyDescent="0.25">
      <c r="A43" s="10"/>
      <c r="J43" s="10" t="s">
        <v>28</v>
      </c>
    </row>
    <row r="44" spans="1:12" x14ac:dyDescent="0.2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2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2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25">
      <c r="B47" s="11" t="s">
        <v>36</v>
      </c>
    </row>
    <row r="48" spans="1:12" x14ac:dyDescent="0.25">
      <c r="A48" s="6" t="s">
        <v>37</v>
      </c>
    </row>
    <row r="49" spans="1:12" x14ac:dyDescent="0.25">
      <c r="A49" t="s">
        <v>44</v>
      </c>
    </row>
    <row r="50" spans="1:12" x14ac:dyDescent="0.25">
      <c r="B50" s="6" t="s">
        <v>43</v>
      </c>
      <c r="K50" s="6" t="s">
        <v>8</v>
      </c>
    </row>
    <row r="51" spans="1:12" x14ac:dyDescent="0.2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2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2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25">
      <c r="A54" t="s">
        <v>45</v>
      </c>
    </row>
    <row r="55" spans="1:12" x14ac:dyDescent="0.25">
      <c r="A55" t="s">
        <v>38</v>
      </c>
      <c r="E55" t="s">
        <v>39</v>
      </c>
      <c r="I55" t="s">
        <v>42</v>
      </c>
    </row>
    <row r="56" spans="1:12" x14ac:dyDescent="0.2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2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2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25">
      <c r="B59" s="11" t="s">
        <v>49</v>
      </c>
    </row>
    <row r="60" spans="1:12" x14ac:dyDescent="0.25">
      <c r="A60" t="s">
        <v>51</v>
      </c>
      <c r="B60" s="8"/>
      <c r="F60" s="8"/>
    </row>
    <row r="61" spans="1:12" x14ac:dyDescent="0.25">
      <c r="G61" s="6" t="s">
        <v>43</v>
      </c>
      <c r="J61" s="10" t="s">
        <v>9</v>
      </c>
    </row>
    <row r="62" spans="1:12" x14ac:dyDescent="0.2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2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2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25">
      <c r="B65" s="11" t="s">
        <v>54</v>
      </c>
    </row>
    <row r="67" spans="1:3" x14ac:dyDescent="0.25">
      <c r="A67" s="6" t="s">
        <v>57</v>
      </c>
      <c r="B67" s="8"/>
    </row>
    <row r="68" spans="1:3" x14ac:dyDescent="0.25">
      <c r="C68" s="8" t="s">
        <v>55</v>
      </c>
    </row>
    <row r="69" spans="1:3" x14ac:dyDescent="0.25">
      <c r="A69" s="12">
        <v>494200</v>
      </c>
      <c r="C69" s="8" t="s">
        <v>56</v>
      </c>
    </row>
    <row r="70" spans="1:3" x14ac:dyDescent="0.25">
      <c r="A70" s="12">
        <v>9960900</v>
      </c>
      <c r="C70" t="s">
        <v>58</v>
      </c>
    </row>
    <row r="71" spans="1:3" x14ac:dyDescent="0.25">
      <c r="A71" s="12">
        <v>494200</v>
      </c>
      <c r="C71" t="s">
        <v>59</v>
      </c>
    </row>
    <row r="74" spans="1:3" ht="23.25" x14ac:dyDescent="0.25">
      <c r="A74" s="15" t="s">
        <v>60</v>
      </c>
    </row>
    <row r="75" spans="1:3" x14ac:dyDescent="0.25">
      <c r="A75" t="s">
        <v>71</v>
      </c>
    </row>
    <row r="76" spans="1:3" x14ac:dyDescent="0.25">
      <c r="A76" t="s">
        <v>72</v>
      </c>
    </row>
    <row r="77" spans="1:3" x14ac:dyDescent="0.25">
      <c r="A77" t="s">
        <v>73</v>
      </c>
    </row>
    <row r="78" spans="1:3" x14ac:dyDescent="0.25">
      <c r="A78" s="6" t="s">
        <v>15</v>
      </c>
    </row>
    <row r="79" spans="1:3" x14ac:dyDescent="0.25">
      <c r="A79" t="s">
        <v>67</v>
      </c>
    </row>
    <row r="80" spans="1:3" x14ac:dyDescent="0.25">
      <c r="A80" t="s">
        <v>61</v>
      </c>
    </row>
    <row r="81" spans="1:9" x14ac:dyDescent="0.25">
      <c r="A81" t="s">
        <v>62</v>
      </c>
    </row>
    <row r="82" spans="1:9" x14ac:dyDescent="0.25">
      <c r="A82" t="s">
        <v>63</v>
      </c>
    </row>
    <row r="83" spans="1:9" x14ac:dyDescent="0.25">
      <c r="A83" t="s">
        <v>64</v>
      </c>
    </row>
    <row r="84" spans="1:9" x14ac:dyDescent="0.25">
      <c r="A84" t="s">
        <v>65</v>
      </c>
    </row>
    <row r="85" spans="1:9" x14ac:dyDescent="0.25">
      <c r="A85" t="s">
        <v>66</v>
      </c>
    </row>
    <row r="87" spans="1:9" x14ac:dyDescent="0.25">
      <c r="A87" s="6" t="s">
        <v>26</v>
      </c>
    </row>
    <row r="88" spans="1:9" x14ac:dyDescent="0.25">
      <c r="A88" s="13" t="s">
        <v>68</v>
      </c>
    </row>
    <row r="89" spans="1:9" x14ac:dyDescent="0.2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2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2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2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2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2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2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25">
      <c r="A97" s="13" t="s">
        <v>74</v>
      </c>
    </row>
    <row r="98" spans="1:30" x14ac:dyDescent="0.25">
      <c r="A98" t="s">
        <v>75</v>
      </c>
    </row>
    <row r="99" spans="1:30" x14ac:dyDescent="0.2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2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2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2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2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2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2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2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2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2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2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2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2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2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2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2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2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25">
      <c r="Z117" t="s">
        <v>84</v>
      </c>
      <c r="AA117">
        <f>90-14</f>
        <v>76</v>
      </c>
      <c r="AB117">
        <f>SQRT(AA117)</f>
        <v>8.717797887081348</v>
      </c>
    </row>
    <row r="118" spans="2:29" x14ac:dyDescent="0.2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25">
      <c r="H120">
        <v>2</v>
      </c>
    </row>
    <row r="121" spans="2:29" x14ac:dyDescent="0.25">
      <c r="H121">
        <v>5</v>
      </c>
      <c r="R121">
        <f>Q118/5</f>
        <v>45</v>
      </c>
    </row>
    <row r="122" spans="2:29" x14ac:dyDescent="0.25">
      <c r="H122">
        <v>10</v>
      </c>
      <c r="I122">
        <v>2</v>
      </c>
      <c r="K122">
        <v>2</v>
      </c>
    </row>
    <row r="123" spans="2:29" x14ac:dyDescent="0.2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86</v>
      </c>
      <c r="P123">
        <f>G123/10/2</f>
        <v>12</v>
      </c>
      <c r="Q123">
        <f>P123^2</f>
        <v>144</v>
      </c>
    </row>
    <row r="124" spans="2:29" x14ac:dyDescent="0.2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87</v>
      </c>
      <c r="P124">
        <f>G124/10/2</f>
        <v>42</v>
      </c>
      <c r="Q124">
        <f t="shared" ref="Q124:Q127" si="28">P124^2</f>
        <v>1764</v>
      </c>
    </row>
    <row r="125" spans="2:29" x14ac:dyDescent="0.2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88</v>
      </c>
      <c r="P125">
        <f>G125/10/2</f>
        <v>27</v>
      </c>
      <c r="Q125">
        <f t="shared" si="28"/>
        <v>729</v>
      </c>
    </row>
    <row r="126" spans="2:29" x14ac:dyDescent="0.2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89</v>
      </c>
      <c r="P126">
        <f>G126/10/2</f>
        <v>22</v>
      </c>
      <c r="Q126">
        <f t="shared" si="28"/>
        <v>484</v>
      </c>
    </row>
    <row r="127" spans="2:29" x14ac:dyDescent="0.2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90</v>
      </c>
      <c r="P127">
        <f>G127/10/2</f>
        <v>103</v>
      </c>
      <c r="Q127">
        <f t="shared" si="28"/>
        <v>10609</v>
      </c>
    </row>
    <row r="128" spans="2:29" x14ac:dyDescent="0.25">
      <c r="W128">
        <v>2</v>
      </c>
      <c r="X128">
        <f>SQRT(W128)</f>
        <v>1.4142135623730951</v>
      </c>
    </row>
    <row r="129" spans="5:24" x14ac:dyDescent="0.25">
      <c r="J129">
        <f>SUM(J123:J128)</f>
        <v>13730</v>
      </c>
      <c r="P129">
        <f>SUM(P123:P128)</f>
        <v>206</v>
      </c>
      <c r="Q129">
        <f>SUM(Q123:Q128)</f>
        <v>13730</v>
      </c>
      <c r="W129">
        <v>3</v>
      </c>
      <c r="X129">
        <f>SQRT(W129)</f>
        <v>1.7320508075688772</v>
      </c>
    </row>
    <row r="130" spans="5:24" x14ac:dyDescent="0.25">
      <c r="J130">
        <f>SQRT(J129)</f>
        <v>117.17508267545622</v>
      </c>
      <c r="R130">
        <f>2*5*1373</f>
        <v>13730</v>
      </c>
      <c r="S130">
        <f>SQRT(R130)</f>
        <v>117.17508267545622</v>
      </c>
    </row>
    <row r="131" spans="5:24" x14ac:dyDescent="0.25">
      <c r="W131">
        <f>W128/W129</f>
        <v>0.66666666666666663</v>
      </c>
      <c r="X131">
        <f>X128/X129</f>
        <v>0.81649658092772615</v>
      </c>
    </row>
    <row r="132" spans="5:24" x14ac:dyDescent="0.2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  <c r="W132">
        <f>SQRT(W131)</f>
        <v>0.81649658092772603</v>
      </c>
    </row>
    <row r="133" spans="5:24" x14ac:dyDescent="0.25">
      <c r="I133">
        <f>I132*20</f>
        <v>2340</v>
      </c>
      <c r="J133">
        <f>J132-J129</f>
        <v>-41</v>
      </c>
    </row>
    <row r="135" spans="5:24" x14ac:dyDescent="0.2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5:24" x14ac:dyDescent="0.25">
      <c r="I136">
        <f>I135*20</f>
        <v>2360</v>
      </c>
    </row>
    <row r="139" spans="5:24" x14ac:dyDescent="0.25">
      <c r="E139">
        <v>19</v>
      </c>
      <c r="F139">
        <v>1804</v>
      </c>
      <c r="H139">
        <f>SQRT(F139/F140)*E139</f>
        <v>18.994736112934024</v>
      </c>
      <c r="J139">
        <v>9020</v>
      </c>
      <c r="K139">
        <f>SQRT(J139)</f>
        <v>94.973680564670133</v>
      </c>
    </row>
    <row r="140" spans="5:24" x14ac:dyDescent="0.25">
      <c r="F140">
        <v>1805</v>
      </c>
      <c r="J140">
        <v>25</v>
      </c>
      <c r="N140">
        <f>2 * 5 * 7 * 7 * 7 * 7</f>
        <v>24010</v>
      </c>
    </row>
    <row r="141" spans="5:24" x14ac:dyDescent="0.25">
      <c r="J141">
        <f>J139/J140</f>
        <v>360.8</v>
      </c>
    </row>
    <row r="142" spans="5:24" x14ac:dyDescent="0.25">
      <c r="M142">
        <v>7</v>
      </c>
      <c r="N142">
        <f>M142^2</f>
        <v>49</v>
      </c>
      <c r="O142">
        <f>N142^2</f>
        <v>2401</v>
      </c>
    </row>
    <row r="148" spans="3:7" x14ac:dyDescent="0.25">
      <c r="D148">
        <v>2</v>
      </c>
    </row>
    <row r="149" spans="3:7" x14ac:dyDescent="0.25">
      <c r="D149">
        <v>5</v>
      </c>
      <c r="E149">
        <f>SQRT(D149)</f>
        <v>2.2360679774997898</v>
      </c>
    </row>
    <row r="150" spans="3:7" x14ac:dyDescent="0.25">
      <c r="D150">
        <f>D148/D149</f>
        <v>0.4</v>
      </c>
      <c r="E150">
        <f>D150*E149</f>
        <v>0.89442719099991597</v>
      </c>
    </row>
    <row r="151" spans="3:7" x14ac:dyDescent="0.25">
      <c r="C151">
        <v>4</v>
      </c>
    </row>
    <row r="152" spans="3:7" x14ac:dyDescent="0.25">
      <c r="C152">
        <v>5</v>
      </c>
    </row>
    <row r="153" spans="3:7" x14ac:dyDescent="0.25">
      <c r="C153">
        <f>C151/C152</f>
        <v>0.8</v>
      </c>
    </row>
    <row r="154" spans="3:7" x14ac:dyDescent="0.25">
      <c r="C154">
        <f>SQRT(C153)</f>
        <v>0.89442719099991586</v>
      </c>
      <c r="E154">
        <v>20</v>
      </c>
    </row>
    <row r="155" spans="3:7" x14ac:dyDescent="0.25">
      <c r="E155">
        <f>SQRT(E154)</f>
        <v>4.4721359549995796</v>
      </c>
      <c r="G155">
        <v>1</v>
      </c>
    </row>
    <row r="156" spans="3:7" x14ac:dyDescent="0.25">
      <c r="G156">
        <f>G155/E155</f>
        <v>0.22360679774997896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156B-4495-4400-8873-A45B82A27CF2}">
  <dimension ref="B1:L28"/>
  <sheetViews>
    <sheetView tabSelected="1" workbookViewId="0">
      <selection activeCell="K23" sqref="K23"/>
    </sheetView>
  </sheetViews>
  <sheetFormatPr defaultRowHeight="15" x14ac:dyDescent="0.25"/>
  <sheetData>
    <row r="1" spans="2:12" x14ac:dyDescent="0.25">
      <c r="B1" t="s">
        <v>103</v>
      </c>
      <c r="C1" t="s">
        <v>1</v>
      </c>
      <c r="D1" t="s">
        <v>2</v>
      </c>
      <c r="E1" t="s">
        <v>3</v>
      </c>
      <c r="F1" t="s">
        <v>7</v>
      </c>
      <c r="L1" t="s">
        <v>104</v>
      </c>
    </row>
    <row r="2" spans="2:12" x14ac:dyDescent="0.25">
      <c r="D2" s="16"/>
      <c r="E2" s="16"/>
      <c r="F2" s="9"/>
    </row>
    <row r="3" spans="2:12" x14ac:dyDescent="0.25">
      <c r="C3" s="7">
        <v>3</v>
      </c>
      <c r="D3" s="7">
        <v>51</v>
      </c>
      <c r="E3" s="7">
        <v>3</v>
      </c>
      <c r="F3" s="7">
        <v>2200</v>
      </c>
      <c r="H3" s="7">
        <v>1</v>
      </c>
      <c r="I3" s="7">
        <v>45</v>
      </c>
      <c r="J3" s="7">
        <v>3</v>
      </c>
      <c r="K3" s="7">
        <v>4500</v>
      </c>
    </row>
    <row r="4" spans="2:12" x14ac:dyDescent="0.25">
      <c r="C4" s="7">
        <v>1</v>
      </c>
      <c r="D4" s="7">
        <v>30</v>
      </c>
      <c r="E4" s="7">
        <v>1</v>
      </c>
      <c r="F4" s="7">
        <v>1600</v>
      </c>
    </row>
    <row r="5" spans="2:12" x14ac:dyDescent="0.25">
      <c r="C5" s="7">
        <v>2</v>
      </c>
      <c r="D5" s="7">
        <v>45</v>
      </c>
      <c r="E5" s="7">
        <v>2</v>
      </c>
      <c r="F5" s="7">
        <v>1900</v>
      </c>
    </row>
    <row r="6" spans="2:12" x14ac:dyDescent="0.25">
      <c r="C6" s="7">
        <v>3</v>
      </c>
      <c r="D6" s="7">
        <v>55</v>
      </c>
      <c r="E6" s="7">
        <v>1</v>
      </c>
      <c r="F6" s="7">
        <v>2000</v>
      </c>
    </row>
    <row r="8" spans="2:12" x14ac:dyDescent="0.25">
      <c r="B8" t="s">
        <v>98</v>
      </c>
      <c r="C8">
        <f>AVERAGE(C3:C6)</f>
        <v>2.25</v>
      </c>
      <c r="D8">
        <f t="shared" ref="D8:F8" si="0">AVERAGE(D3:D6)</f>
        <v>45.25</v>
      </c>
      <c r="E8">
        <f t="shared" si="0"/>
        <v>1.75</v>
      </c>
      <c r="F8">
        <f t="shared" si="0"/>
        <v>1925</v>
      </c>
      <c r="H8">
        <f>AVERAGE(H3:H6)</f>
        <v>1</v>
      </c>
      <c r="I8">
        <f t="shared" ref="I8:K8" si="1">AVERAGE(I3:I6)</f>
        <v>45</v>
      </c>
      <c r="J8">
        <f t="shared" si="1"/>
        <v>3</v>
      </c>
      <c r="K8">
        <f t="shared" si="1"/>
        <v>4500</v>
      </c>
    </row>
    <row r="10" spans="2:12" x14ac:dyDescent="0.25">
      <c r="B10" t="s">
        <v>99</v>
      </c>
      <c r="C10">
        <f>C3-C$8</f>
        <v>0.75</v>
      </c>
      <c r="D10">
        <f t="shared" ref="D10:F10" si="2">D3-D$8</f>
        <v>5.75</v>
      </c>
      <c r="E10">
        <f t="shared" si="2"/>
        <v>1.25</v>
      </c>
      <c r="F10">
        <f t="shared" si="2"/>
        <v>275</v>
      </c>
      <c r="H10">
        <f>H3-H$8</f>
        <v>0</v>
      </c>
      <c r="I10">
        <f t="shared" ref="I10:K10" si="3">I3-I$8</f>
        <v>0</v>
      </c>
      <c r="J10">
        <f t="shared" si="3"/>
        <v>0</v>
      </c>
      <c r="K10">
        <f t="shared" si="3"/>
        <v>0</v>
      </c>
    </row>
    <row r="11" spans="2:12" x14ac:dyDescent="0.25">
      <c r="C11">
        <f t="shared" ref="C11:F11" si="4">C4-C$8</f>
        <v>-1.25</v>
      </c>
      <c r="D11">
        <f t="shared" si="4"/>
        <v>-15.25</v>
      </c>
      <c r="E11">
        <f t="shared" si="4"/>
        <v>-0.75</v>
      </c>
      <c r="F11">
        <f t="shared" si="4"/>
        <v>-325</v>
      </c>
    </row>
    <row r="12" spans="2:12" x14ac:dyDescent="0.25">
      <c r="C12">
        <f t="shared" ref="C12:F12" si="5">C5-C$8</f>
        <v>-0.25</v>
      </c>
      <c r="D12">
        <f t="shared" si="5"/>
        <v>-0.25</v>
      </c>
      <c r="E12">
        <f t="shared" si="5"/>
        <v>0.25</v>
      </c>
      <c r="F12">
        <f t="shared" si="5"/>
        <v>-25</v>
      </c>
    </row>
    <row r="13" spans="2:12" x14ac:dyDescent="0.25">
      <c r="C13">
        <f t="shared" ref="C13:F13" si="6">C6-C$8</f>
        <v>0.75</v>
      </c>
      <c r="D13">
        <f t="shared" si="6"/>
        <v>9.75</v>
      </c>
      <c r="E13">
        <f t="shared" si="6"/>
        <v>-0.75</v>
      </c>
      <c r="F13">
        <f t="shared" si="6"/>
        <v>75</v>
      </c>
    </row>
    <row r="15" spans="2:12" x14ac:dyDescent="0.25">
      <c r="C15">
        <f>C10^2</f>
        <v>0.5625</v>
      </c>
      <c r="D15">
        <f t="shared" ref="D15:F15" si="7">D10^2</f>
        <v>33.0625</v>
      </c>
      <c r="E15">
        <f t="shared" si="7"/>
        <v>1.5625</v>
      </c>
      <c r="F15">
        <f t="shared" si="7"/>
        <v>75625</v>
      </c>
      <c r="H15">
        <f>H10^2</f>
        <v>0</v>
      </c>
      <c r="I15">
        <f t="shared" ref="I15:K15" si="8">I10^2</f>
        <v>0</v>
      </c>
      <c r="J15">
        <f t="shared" si="8"/>
        <v>0</v>
      </c>
      <c r="K15">
        <f t="shared" si="8"/>
        <v>0</v>
      </c>
    </row>
    <row r="16" spans="2:12" x14ac:dyDescent="0.25">
      <c r="C16">
        <f t="shared" ref="C16:F16" si="9">C11^2</f>
        <v>1.5625</v>
      </c>
      <c r="D16">
        <f t="shared" si="9"/>
        <v>232.5625</v>
      </c>
      <c r="E16">
        <f t="shared" si="9"/>
        <v>0.5625</v>
      </c>
      <c r="F16">
        <f t="shared" si="9"/>
        <v>105625</v>
      </c>
    </row>
    <row r="17" spans="2:11" x14ac:dyDescent="0.25">
      <c r="C17">
        <f t="shared" ref="C17:F17" si="10">C12^2</f>
        <v>6.25E-2</v>
      </c>
      <c r="D17">
        <f t="shared" si="10"/>
        <v>6.25E-2</v>
      </c>
      <c r="E17">
        <f t="shared" si="10"/>
        <v>6.25E-2</v>
      </c>
      <c r="F17">
        <f t="shared" si="10"/>
        <v>625</v>
      </c>
    </row>
    <row r="18" spans="2:11" x14ac:dyDescent="0.25">
      <c r="C18">
        <f t="shared" ref="C18:F18" si="11">C13^2</f>
        <v>0.5625</v>
      </c>
      <c r="D18">
        <f t="shared" si="11"/>
        <v>95.0625</v>
      </c>
      <c r="E18">
        <f t="shared" si="11"/>
        <v>0.5625</v>
      </c>
      <c r="F18">
        <f t="shared" si="11"/>
        <v>5625</v>
      </c>
    </row>
    <row r="20" spans="2:11" x14ac:dyDescent="0.25">
      <c r="C20">
        <f>SUM(C15:C19)</f>
        <v>2.75</v>
      </c>
      <c r="D20">
        <f t="shared" ref="D20:F20" si="12">SUM(D15:D19)</f>
        <v>360.75</v>
      </c>
      <c r="E20">
        <f t="shared" si="12"/>
        <v>2.75</v>
      </c>
      <c r="F20">
        <f t="shared" si="12"/>
        <v>187500</v>
      </c>
    </row>
    <row r="21" spans="2:11" x14ac:dyDescent="0.25">
      <c r="B21" t="s">
        <v>100</v>
      </c>
      <c r="C21">
        <f>SQRT(C20)</f>
        <v>1.6583123951776999</v>
      </c>
      <c r="D21">
        <f t="shared" ref="D21:F21" si="13">SQRT(D20)</f>
        <v>18.993419913222578</v>
      </c>
      <c r="E21">
        <f t="shared" si="13"/>
        <v>1.6583123951776999</v>
      </c>
      <c r="F21">
        <f t="shared" si="13"/>
        <v>433.0127018922193</v>
      </c>
    </row>
    <row r="23" spans="2:11" x14ac:dyDescent="0.25">
      <c r="B23" t="s">
        <v>101</v>
      </c>
      <c r="C23" s="32">
        <f>C10/C$21</f>
        <v>0.45226701686664544</v>
      </c>
      <c r="D23" s="32">
        <f t="shared" ref="D23:F23" si="14">D10/D$21</f>
        <v>0.30273642273327744</v>
      </c>
      <c r="E23" s="32">
        <f t="shared" si="14"/>
        <v>0.75377836144440902</v>
      </c>
      <c r="F23" s="32">
        <f t="shared" si="14"/>
        <v>0.63508529610858833</v>
      </c>
      <c r="G23" s="32"/>
      <c r="H23" s="32">
        <f>C23*$F23</f>
        <v>0.28722813232690142</v>
      </c>
      <c r="I23" s="32">
        <f t="shared" ref="I23:K23" si="15">D23*$F23</f>
        <v>0.19226345067441827</v>
      </c>
      <c r="J23" s="32">
        <f t="shared" si="15"/>
        <v>0.478713553878169</v>
      </c>
      <c r="K23" s="32">
        <f t="shared" si="15"/>
        <v>0.40333333333333332</v>
      </c>
    </row>
    <row r="24" spans="2:11" x14ac:dyDescent="0.25">
      <c r="C24" s="32">
        <f t="shared" ref="C24:F26" si="16">C11/C$21</f>
        <v>-0.75377836144440902</v>
      </c>
      <c r="D24" s="32">
        <f t="shared" si="16"/>
        <v>-0.80290964290130107</v>
      </c>
      <c r="E24" s="32">
        <f t="shared" si="16"/>
        <v>-0.45226701686664544</v>
      </c>
      <c r="F24" s="32">
        <f t="shared" si="16"/>
        <v>-0.75055534994651352</v>
      </c>
      <c r="G24" s="32"/>
      <c r="H24" s="32">
        <f t="shared" ref="H24:H26" si="17">C24*$F24</f>
        <v>0.56575238185601795</v>
      </c>
      <c r="I24" s="32">
        <f t="shared" ref="I24:I26" si="18">D24*$F24</f>
        <v>0.60262812800321619</v>
      </c>
      <c r="J24" s="32">
        <f t="shared" ref="J24:J26" si="19">E24*$F24</f>
        <v>0.33945142911361081</v>
      </c>
      <c r="K24" s="32">
        <f t="shared" ref="K24:K26" si="20">F24*$F24</f>
        <v>0.56333333333333335</v>
      </c>
    </row>
    <row r="25" spans="2:11" x14ac:dyDescent="0.25">
      <c r="C25" s="32">
        <f t="shared" si="16"/>
        <v>-0.15075567228888181</v>
      </c>
      <c r="D25" s="32">
        <f t="shared" si="16"/>
        <v>-1.316245316231641E-2</v>
      </c>
      <c r="E25" s="32">
        <f t="shared" si="16"/>
        <v>0.15075567228888181</v>
      </c>
      <c r="F25" s="32">
        <f t="shared" si="16"/>
        <v>-5.7735026918962581E-2</v>
      </c>
      <c r="G25" s="32"/>
      <c r="H25" s="32">
        <f t="shared" si="17"/>
        <v>8.7038827977848933E-3</v>
      </c>
      <c r="I25" s="32">
        <f t="shared" si="18"/>
        <v>7.5993458764592203E-4</v>
      </c>
      <c r="J25" s="32">
        <f t="shared" si="19"/>
        <v>-8.7038827977848933E-3</v>
      </c>
      <c r="K25" s="32">
        <f t="shared" si="20"/>
        <v>3.333333333333334E-3</v>
      </c>
    </row>
    <row r="26" spans="2:11" x14ac:dyDescent="0.25">
      <c r="C26" s="32">
        <f t="shared" si="16"/>
        <v>0.45226701686664544</v>
      </c>
      <c r="D26" s="32">
        <f t="shared" si="16"/>
        <v>0.51333567333034003</v>
      </c>
      <c r="E26" s="32">
        <f t="shared" si="16"/>
        <v>-0.45226701686664544</v>
      </c>
      <c r="F26" s="32">
        <f t="shared" si="16"/>
        <v>0.17320508075688773</v>
      </c>
      <c r="G26" s="32"/>
      <c r="H26" s="32">
        <f t="shared" si="17"/>
        <v>7.8334945180064036E-2</v>
      </c>
      <c r="I26" s="32">
        <f t="shared" si="18"/>
        <v>8.891234675457288E-2</v>
      </c>
      <c r="J26" s="32">
        <f t="shared" si="19"/>
        <v>-7.8334945180064036E-2</v>
      </c>
      <c r="K26" s="32">
        <f t="shared" si="20"/>
        <v>0.03</v>
      </c>
    </row>
    <row r="27" spans="2:11" x14ac:dyDescent="0.25">
      <c r="C27" s="32"/>
      <c r="D27" s="32"/>
      <c r="E27" s="32"/>
      <c r="F27" s="32"/>
      <c r="G27" s="32"/>
      <c r="H27" s="32"/>
      <c r="I27" s="32"/>
      <c r="J27" s="32"/>
      <c r="K27" s="32"/>
    </row>
    <row r="28" spans="2:11" x14ac:dyDescent="0.25">
      <c r="B28" t="s">
        <v>102</v>
      </c>
      <c r="C28" s="32">
        <f>SUM(C23:C27)</f>
        <v>0</v>
      </c>
      <c r="D28" s="32">
        <f t="shared" ref="D28:F28" si="21">SUM(D23:D27)</f>
        <v>0</v>
      </c>
      <c r="E28" s="32">
        <f t="shared" si="21"/>
        <v>0</v>
      </c>
      <c r="F28" s="32">
        <f t="shared" si="21"/>
        <v>0</v>
      </c>
      <c r="G28" s="32"/>
      <c r="H28" s="32">
        <f t="shared" ref="H28" si="22">SUM(H23:H27)</f>
        <v>0.94001934216076832</v>
      </c>
      <c r="I28" s="32">
        <f t="shared" ref="I28" si="23">SUM(I23:I27)</f>
        <v>0.88456386001985332</v>
      </c>
      <c r="J28" s="32">
        <f t="shared" ref="J28" si="24">SUM(J23:J27)</f>
        <v>0.73112615501393097</v>
      </c>
      <c r="K28" s="32">
        <f t="shared" ref="K28" si="25">SUM(K23:K27)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1E91-ED7C-475C-A636-9777A928839D}">
  <dimension ref="A3:O72"/>
  <sheetViews>
    <sheetView topLeftCell="C36" workbookViewId="0">
      <selection activeCell="H72" sqref="H72"/>
    </sheetView>
  </sheetViews>
  <sheetFormatPr defaultRowHeight="15" x14ac:dyDescent="0.25"/>
  <sheetData>
    <row r="3" spans="1:7" x14ac:dyDescent="0.25">
      <c r="A3" s="11">
        <v>2</v>
      </c>
      <c r="B3" s="11">
        <v>4</v>
      </c>
      <c r="C3" s="11">
        <v>5</v>
      </c>
      <c r="D3">
        <f>B3/C3</f>
        <v>0.8</v>
      </c>
      <c r="E3">
        <f>SQRT(D3)</f>
        <v>0.89442719099991586</v>
      </c>
      <c r="F3">
        <f>E3*A3</f>
        <v>1.7888543819998317</v>
      </c>
      <c r="G3">
        <f>F3*D3</f>
        <v>1.4310835055998654</v>
      </c>
    </row>
    <row r="4" spans="1:7" x14ac:dyDescent="0.25">
      <c r="A4" s="11">
        <v>2</v>
      </c>
      <c r="B4" s="11">
        <v>4</v>
      </c>
      <c r="C4" s="11">
        <v>5</v>
      </c>
      <c r="D4">
        <f t="shared" ref="D4" si="0">B4/C4</f>
        <v>0.8</v>
      </c>
      <c r="E4">
        <f t="shared" ref="E4" si="1">SQRT(D4)</f>
        <v>0.89442719099991586</v>
      </c>
      <c r="F4">
        <f t="shared" ref="F4" si="2">E4*A4</f>
        <v>1.7888543819998317</v>
      </c>
      <c r="G4">
        <f t="shared" ref="G4" si="3">F4*D4</f>
        <v>1.4310835055998654</v>
      </c>
    </row>
    <row r="13" spans="1:7" x14ac:dyDescent="0.25">
      <c r="B13">
        <f t="shared" ref="B13" si="4">B14-1</f>
        <v>1</v>
      </c>
      <c r="C13">
        <f t="shared" ref="C13:C16" si="5">SQRT(B13)</f>
        <v>1</v>
      </c>
      <c r="D13">
        <f t="shared" ref="D13" si="6">C13/B13</f>
        <v>1</v>
      </c>
    </row>
    <row r="14" spans="1:7" x14ac:dyDescent="0.25">
      <c r="B14">
        <f t="shared" ref="B14:B15" si="7">B15-1</f>
        <v>2</v>
      </c>
      <c r="C14">
        <f t="shared" si="5"/>
        <v>1.4142135623730951</v>
      </c>
      <c r="D14">
        <f t="shared" ref="D14:D16" si="8">C14/B14</f>
        <v>0.70710678118654757</v>
      </c>
    </row>
    <row r="15" spans="1:7" x14ac:dyDescent="0.25">
      <c r="B15">
        <f t="shared" si="7"/>
        <v>3</v>
      </c>
      <c r="C15">
        <f t="shared" si="5"/>
        <v>1.7320508075688772</v>
      </c>
      <c r="D15">
        <f t="shared" si="8"/>
        <v>0.57735026918962573</v>
      </c>
    </row>
    <row r="16" spans="1:7" x14ac:dyDescent="0.25">
      <c r="B16">
        <f>B17-1</f>
        <v>4</v>
      </c>
      <c r="C16">
        <f t="shared" si="5"/>
        <v>2</v>
      </c>
      <c r="D16">
        <f t="shared" si="8"/>
        <v>0.5</v>
      </c>
    </row>
    <row r="17" spans="2:4" x14ac:dyDescent="0.25">
      <c r="B17">
        <v>5</v>
      </c>
      <c r="C17">
        <f>SQRT(B17)</f>
        <v>2.2360679774997898</v>
      </c>
      <c r="D17">
        <f>C17/B17</f>
        <v>0.44721359549995798</v>
      </c>
    </row>
    <row r="18" spans="2:4" x14ac:dyDescent="0.25">
      <c r="B18">
        <f>B17+1</f>
        <v>6</v>
      </c>
      <c r="C18">
        <f t="shared" ref="C18:C58" si="9">SQRT(B18)</f>
        <v>2.4494897427831779</v>
      </c>
      <c r="D18">
        <f t="shared" ref="D18:D27" si="10">C18/B18</f>
        <v>0.40824829046386296</v>
      </c>
    </row>
    <row r="19" spans="2:4" x14ac:dyDescent="0.25">
      <c r="B19">
        <f t="shared" ref="B19:B27" si="11">B18+1</f>
        <v>7</v>
      </c>
      <c r="C19">
        <f t="shared" si="9"/>
        <v>2.6457513110645907</v>
      </c>
      <c r="D19">
        <f t="shared" si="10"/>
        <v>0.37796447300922725</v>
      </c>
    </row>
    <row r="20" spans="2:4" x14ac:dyDescent="0.25">
      <c r="B20">
        <f t="shared" si="11"/>
        <v>8</v>
      </c>
      <c r="C20">
        <f t="shared" si="9"/>
        <v>2.8284271247461903</v>
      </c>
      <c r="D20">
        <f t="shared" si="10"/>
        <v>0.35355339059327379</v>
      </c>
    </row>
    <row r="21" spans="2:4" x14ac:dyDescent="0.25">
      <c r="B21">
        <f t="shared" si="11"/>
        <v>9</v>
      </c>
      <c r="C21">
        <f t="shared" si="9"/>
        <v>3</v>
      </c>
      <c r="D21">
        <f t="shared" si="10"/>
        <v>0.33333333333333331</v>
      </c>
    </row>
    <row r="22" spans="2:4" x14ac:dyDescent="0.25">
      <c r="B22">
        <f t="shared" si="11"/>
        <v>10</v>
      </c>
      <c r="C22">
        <f t="shared" si="9"/>
        <v>3.1622776601683795</v>
      </c>
      <c r="D22">
        <f t="shared" si="10"/>
        <v>0.31622776601683794</v>
      </c>
    </row>
    <row r="23" spans="2:4" x14ac:dyDescent="0.25">
      <c r="B23">
        <f t="shared" si="11"/>
        <v>11</v>
      </c>
      <c r="C23">
        <f t="shared" si="9"/>
        <v>3.3166247903553998</v>
      </c>
      <c r="D23">
        <f t="shared" si="10"/>
        <v>0.30151134457776363</v>
      </c>
    </row>
    <row r="24" spans="2:4" x14ac:dyDescent="0.25">
      <c r="B24">
        <f t="shared" si="11"/>
        <v>12</v>
      </c>
      <c r="C24">
        <f t="shared" si="9"/>
        <v>3.4641016151377544</v>
      </c>
      <c r="D24">
        <f t="shared" si="10"/>
        <v>0.28867513459481287</v>
      </c>
    </row>
    <row r="25" spans="2:4" x14ac:dyDescent="0.25">
      <c r="B25">
        <f t="shared" si="11"/>
        <v>13</v>
      </c>
      <c r="C25">
        <f t="shared" si="9"/>
        <v>3.6055512754639891</v>
      </c>
      <c r="D25">
        <f t="shared" si="10"/>
        <v>0.27735009811261457</v>
      </c>
    </row>
    <row r="26" spans="2:4" x14ac:dyDescent="0.25">
      <c r="B26">
        <f t="shared" si="11"/>
        <v>14</v>
      </c>
      <c r="C26">
        <f t="shared" si="9"/>
        <v>3.7416573867739413</v>
      </c>
      <c r="D26">
        <f t="shared" si="10"/>
        <v>0.2672612419124244</v>
      </c>
    </row>
    <row r="27" spans="2:4" x14ac:dyDescent="0.25">
      <c r="B27">
        <f t="shared" si="11"/>
        <v>15</v>
      </c>
      <c r="C27">
        <f t="shared" si="9"/>
        <v>3.872983346207417</v>
      </c>
      <c r="D27">
        <f t="shared" si="10"/>
        <v>0.25819888974716115</v>
      </c>
    </row>
    <row r="28" spans="2:4" x14ac:dyDescent="0.25">
      <c r="B28">
        <f t="shared" ref="B28:B58" si="12">B27+1</f>
        <v>16</v>
      </c>
      <c r="C28">
        <f t="shared" si="9"/>
        <v>4</v>
      </c>
      <c r="D28">
        <f t="shared" ref="D28:D58" si="13">C28/B28</f>
        <v>0.25</v>
      </c>
    </row>
    <row r="29" spans="2:4" x14ac:dyDescent="0.25">
      <c r="B29">
        <f t="shared" si="12"/>
        <v>17</v>
      </c>
      <c r="C29">
        <f t="shared" si="9"/>
        <v>4.1231056256176606</v>
      </c>
      <c r="D29">
        <f t="shared" si="13"/>
        <v>0.24253562503633297</v>
      </c>
    </row>
    <row r="30" spans="2:4" x14ac:dyDescent="0.25">
      <c r="B30">
        <f t="shared" si="12"/>
        <v>18</v>
      </c>
      <c r="C30">
        <f t="shared" si="9"/>
        <v>4.2426406871192848</v>
      </c>
      <c r="D30">
        <f t="shared" si="13"/>
        <v>0.23570226039551581</v>
      </c>
    </row>
    <row r="31" spans="2:4" x14ac:dyDescent="0.25">
      <c r="B31">
        <f t="shared" si="12"/>
        <v>19</v>
      </c>
      <c r="C31">
        <f t="shared" si="9"/>
        <v>4.358898943540674</v>
      </c>
      <c r="D31">
        <f t="shared" si="13"/>
        <v>0.2294157338705618</v>
      </c>
    </row>
    <row r="32" spans="2:4" x14ac:dyDescent="0.25">
      <c r="B32">
        <f t="shared" si="12"/>
        <v>20</v>
      </c>
      <c r="C32">
        <f t="shared" si="9"/>
        <v>4.4721359549995796</v>
      </c>
      <c r="D32">
        <f t="shared" si="13"/>
        <v>0.22360679774997899</v>
      </c>
    </row>
    <row r="33" spans="2:15" x14ac:dyDescent="0.25">
      <c r="B33">
        <f t="shared" si="12"/>
        <v>21</v>
      </c>
      <c r="C33">
        <f t="shared" si="9"/>
        <v>4.5825756949558398</v>
      </c>
      <c r="D33">
        <f t="shared" si="13"/>
        <v>0.21821789023599236</v>
      </c>
    </row>
    <row r="34" spans="2:15" x14ac:dyDescent="0.25">
      <c r="B34">
        <f t="shared" si="12"/>
        <v>22</v>
      </c>
      <c r="C34">
        <f t="shared" si="9"/>
        <v>4.6904157598234297</v>
      </c>
      <c r="D34">
        <f t="shared" si="13"/>
        <v>0.21320071635561044</v>
      </c>
    </row>
    <row r="35" spans="2:15" x14ac:dyDescent="0.25">
      <c r="B35">
        <f t="shared" si="12"/>
        <v>23</v>
      </c>
      <c r="C35">
        <f t="shared" si="9"/>
        <v>4.7958315233127191</v>
      </c>
      <c r="D35">
        <f t="shared" si="13"/>
        <v>0.20851441405707474</v>
      </c>
    </row>
    <row r="36" spans="2:15" x14ac:dyDescent="0.25">
      <c r="B36">
        <f t="shared" si="12"/>
        <v>24</v>
      </c>
      <c r="C36">
        <f t="shared" si="9"/>
        <v>4.8989794855663558</v>
      </c>
      <c r="D36">
        <f t="shared" si="13"/>
        <v>0.20412414523193148</v>
      </c>
      <c r="F36">
        <v>4</v>
      </c>
      <c r="G36">
        <f>SQRT(F36)</f>
        <v>2</v>
      </c>
    </row>
    <row r="37" spans="2:15" x14ac:dyDescent="0.25">
      <c r="B37">
        <f t="shared" si="12"/>
        <v>25</v>
      </c>
      <c r="C37">
        <f t="shared" si="9"/>
        <v>5</v>
      </c>
      <c r="D37">
        <f t="shared" si="13"/>
        <v>0.2</v>
      </c>
      <c r="F37">
        <v>5</v>
      </c>
      <c r="G37">
        <f>SQRT(F37)</f>
        <v>2.2360679774997898</v>
      </c>
      <c r="I37">
        <f>F37/F36</f>
        <v>1.25</v>
      </c>
      <c r="J37">
        <f>G37/G36</f>
        <v>1.1180339887498949</v>
      </c>
    </row>
    <row r="38" spans="2:15" x14ac:dyDescent="0.25">
      <c r="B38">
        <f t="shared" si="12"/>
        <v>26</v>
      </c>
      <c r="C38">
        <f t="shared" si="9"/>
        <v>5.0990195135927845</v>
      </c>
      <c r="D38">
        <f t="shared" si="13"/>
        <v>0.19611613513818402</v>
      </c>
      <c r="F38">
        <f>F36/F37</f>
        <v>0.8</v>
      </c>
      <c r="J38" t="b">
        <f>J37=J39</f>
        <v>1</v>
      </c>
    </row>
    <row r="39" spans="2:15" x14ac:dyDescent="0.25">
      <c r="B39">
        <f t="shared" si="12"/>
        <v>27</v>
      </c>
      <c r="C39">
        <f t="shared" si="9"/>
        <v>5.196152422706632</v>
      </c>
      <c r="D39">
        <f t="shared" si="13"/>
        <v>0.19245008972987526</v>
      </c>
      <c r="F39">
        <f>SQRT(F38)</f>
        <v>0.89442719099991586</v>
      </c>
      <c r="G39">
        <f>G36/G37</f>
        <v>0.89442719099991586</v>
      </c>
      <c r="H39" t="b">
        <f>G39=F39</f>
        <v>1</v>
      </c>
      <c r="I39">
        <v>1</v>
      </c>
      <c r="J39">
        <f>I39/G39</f>
        <v>1.1180339887498949</v>
      </c>
    </row>
    <row r="40" spans="2:15" x14ac:dyDescent="0.25">
      <c r="B40">
        <f t="shared" si="12"/>
        <v>28</v>
      </c>
      <c r="C40">
        <f t="shared" si="9"/>
        <v>5.2915026221291814</v>
      </c>
      <c r="D40">
        <f t="shared" si="13"/>
        <v>0.18898223650461363</v>
      </c>
      <c r="F40">
        <v>2</v>
      </c>
    </row>
    <row r="41" spans="2:15" x14ac:dyDescent="0.25">
      <c r="B41">
        <f t="shared" si="12"/>
        <v>29</v>
      </c>
      <c r="C41">
        <f t="shared" si="9"/>
        <v>5.3851648071345037</v>
      </c>
      <c r="D41">
        <f t="shared" si="13"/>
        <v>0.18569533817705186</v>
      </c>
      <c r="F41">
        <f>F40*F39</f>
        <v>1.7888543819998317</v>
      </c>
      <c r="G41">
        <v>1</v>
      </c>
      <c r="H41">
        <f>G41/F41</f>
        <v>0.55901699437494745</v>
      </c>
      <c r="I41">
        <v>2</v>
      </c>
      <c r="J41">
        <f>I41*H41</f>
        <v>1.1180339887498949</v>
      </c>
      <c r="K41">
        <v>5</v>
      </c>
      <c r="L41">
        <f>J41/K41</f>
        <v>0.22360679774997899</v>
      </c>
    </row>
    <row r="42" spans="2:15" x14ac:dyDescent="0.25">
      <c r="B42">
        <f t="shared" si="12"/>
        <v>30</v>
      </c>
      <c r="C42">
        <f t="shared" si="9"/>
        <v>5.4772255750516612</v>
      </c>
      <c r="D42">
        <f t="shared" si="13"/>
        <v>0.18257418583505539</v>
      </c>
      <c r="F42">
        <f>F38*F41</f>
        <v>1.4310835055998654</v>
      </c>
      <c r="H42">
        <f>H41*I53</f>
        <v>0.1118033988749895</v>
      </c>
    </row>
    <row r="43" spans="2:15" x14ac:dyDescent="0.25">
      <c r="B43">
        <f t="shared" si="12"/>
        <v>31</v>
      </c>
      <c r="C43">
        <f t="shared" si="9"/>
        <v>5.5677643628300215</v>
      </c>
      <c r="D43">
        <f t="shared" si="13"/>
        <v>0.17960530202677488</v>
      </c>
    </row>
    <row r="44" spans="2:15" x14ac:dyDescent="0.25">
      <c r="B44">
        <f t="shared" si="12"/>
        <v>32</v>
      </c>
      <c r="C44">
        <f t="shared" si="9"/>
        <v>5.6568542494923806</v>
      </c>
      <c r="D44">
        <f t="shared" si="13"/>
        <v>0.17677669529663689</v>
      </c>
      <c r="F44">
        <v>5</v>
      </c>
      <c r="H44">
        <v>2</v>
      </c>
      <c r="O44" t="s">
        <v>91</v>
      </c>
    </row>
    <row r="45" spans="2:15" x14ac:dyDescent="0.25">
      <c r="B45">
        <f t="shared" si="12"/>
        <v>33</v>
      </c>
      <c r="C45">
        <f t="shared" si="9"/>
        <v>5.7445626465380286</v>
      </c>
      <c r="D45">
        <f t="shared" si="13"/>
        <v>0.17407765595569782</v>
      </c>
      <c r="F45" s="20">
        <f>SQRT(F44)/F44</f>
        <v>0.44721359549995798</v>
      </c>
      <c r="G45" t="b">
        <f>F45=O45</f>
        <v>1</v>
      </c>
      <c r="H45">
        <v>5</v>
      </c>
      <c r="I45">
        <f>H44/H45</f>
        <v>0.4</v>
      </c>
      <c r="K45">
        <v>1</v>
      </c>
      <c r="L45">
        <v>2</v>
      </c>
      <c r="M45">
        <f>L45*F39</f>
        <v>1.7888543819998317</v>
      </c>
      <c r="N45">
        <f>K45/M45</f>
        <v>0.55901699437494745</v>
      </c>
      <c r="O45" s="20">
        <f>N45*F38</f>
        <v>0.44721359549995798</v>
      </c>
    </row>
    <row r="46" spans="2:15" x14ac:dyDescent="0.25">
      <c r="B46">
        <f t="shared" si="12"/>
        <v>34</v>
      </c>
      <c r="C46">
        <f t="shared" si="9"/>
        <v>5.8309518948453007</v>
      </c>
      <c r="D46">
        <f t="shared" si="13"/>
        <v>0.17149858514250885</v>
      </c>
    </row>
    <row r="47" spans="2:15" x14ac:dyDescent="0.25">
      <c r="B47">
        <f t="shared" si="12"/>
        <v>35</v>
      </c>
      <c r="C47">
        <f t="shared" si="9"/>
        <v>5.9160797830996161</v>
      </c>
      <c r="D47">
        <f t="shared" si="13"/>
        <v>0.16903085094570333</v>
      </c>
      <c r="F47">
        <v>5</v>
      </c>
    </row>
    <row r="48" spans="2:15" x14ac:dyDescent="0.25">
      <c r="B48">
        <f t="shared" si="12"/>
        <v>36</v>
      </c>
      <c r="C48">
        <f t="shared" si="9"/>
        <v>6</v>
      </c>
      <c r="D48">
        <f t="shared" si="13"/>
        <v>0.16666666666666666</v>
      </c>
      <c r="F48">
        <f>SQRT(F47)</f>
        <v>2.2360679774997898</v>
      </c>
      <c r="H48">
        <v>4</v>
      </c>
    </row>
    <row r="49" spans="2:10" x14ac:dyDescent="0.25">
      <c r="B49">
        <f t="shared" si="12"/>
        <v>37</v>
      </c>
      <c r="C49">
        <f t="shared" si="9"/>
        <v>6.0827625302982193</v>
      </c>
      <c r="D49">
        <f t="shared" si="13"/>
        <v>0.16439898730535729</v>
      </c>
      <c r="F49">
        <v>4</v>
      </c>
      <c r="H49">
        <v>5</v>
      </c>
    </row>
    <row r="50" spans="2:10" x14ac:dyDescent="0.25">
      <c r="B50">
        <f t="shared" si="12"/>
        <v>38</v>
      </c>
      <c r="C50">
        <f t="shared" si="9"/>
        <v>6.164414002968976</v>
      </c>
      <c r="D50">
        <f t="shared" si="13"/>
        <v>0.16222142113076252</v>
      </c>
      <c r="F50">
        <f>SQRT(F49)</f>
        <v>2</v>
      </c>
    </row>
    <row r="51" spans="2:10" x14ac:dyDescent="0.25">
      <c r="B51">
        <f t="shared" si="12"/>
        <v>39</v>
      </c>
      <c r="C51">
        <f t="shared" si="9"/>
        <v>6.2449979983983983</v>
      </c>
      <c r="D51">
        <f t="shared" si="13"/>
        <v>0.16012815380508713</v>
      </c>
      <c r="F51">
        <f>F48/F50</f>
        <v>1.1180339887498949</v>
      </c>
    </row>
    <row r="52" spans="2:10" x14ac:dyDescent="0.25">
      <c r="B52">
        <f t="shared" si="12"/>
        <v>40</v>
      </c>
      <c r="C52">
        <f t="shared" si="9"/>
        <v>6.324555320336759</v>
      </c>
      <c r="D52">
        <f t="shared" si="13"/>
        <v>0.15811388300841897</v>
      </c>
      <c r="H52">
        <v>1</v>
      </c>
    </row>
    <row r="53" spans="2:10" x14ac:dyDescent="0.25">
      <c r="B53">
        <f t="shared" si="12"/>
        <v>41</v>
      </c>
      <c r="C53">
        <f t="shared" si="9"/>
        <v>6.4031242374328485</v>
      </c>
      <c r="D53">
        <f t="shared" si="13"/>
        <v>0.15617376188860607</v>
      </c>
      <c r="H53">
        <v>5</v>
      </c>
      <c r="I53">
        <f>H52/H53</f>
        <v>0.2</v>
      </c>
      <c r="J53" s="21">
        <f>I53*H41</f>
        <v>0.1118033988749895</v>
      </c>
    </row>
    <row r="54" spans="2:10" x14ac:dyDescent="0.25">
      <c r="B54">
        <f t="shared" si="12"/>
        <v>42</v>
      </c>
      <c r="C54">
        <f t="shared" si="9"/>
        <v>6.4807406984078604</v>
      </c>
      <c r="D54">
        <f t="shared" si="13"/>
        <v>0.15430334996209191</v>
      </c>
      <c r="F54">
        <v>500</v>
      </c>
    </row>
    <row r="55" spans="2:10" x14ac:dyDescent="0.25">
      <c r="B55">
        <f t="shared" si="12"/>
        <v>43</v>
      </c>
      <c r="C55">
        <f t="shared" si="9"/>
        <v>6.5574385243020004</v>
      </c>
      <c r="D55">
        <f t="shared" si="13"/>
        <v>0.15249857033260467</v>
      </c>
      <c r="F55">
        <f>SQRT(F54)</f>
        <v>22.360679774997898</v>
      </c>
    </row>
    <row r="56" spans="2:10" x14ac:dyDescent="0.25">
      <c r="B56">
        <f t="shared" si="12"/>
        <v>44</v>
      </c>
      <c r="C56">
        <f t="shared" si="9"/>
        <v>6.6332495807107996</v>
      </c>
      <c r="D56">
        <f t="shared" si="13"/>
        <v>0.15075567228888181</v>
      </c>
      <c r="F56">
        <v>400</v>
      </c>
    </row>
    <row r="57" spans="2:10" x14ac:dyDescent="0.25">
      <c r="B57">
        <f t="shared" si="12"/>
        <v>45</v>
      </c>
      <c r="C57">
        <f t="shared" si="9"/>
        <v>6.7082039324993694</v>
      </c>
      <c r="D57">
        <f t="shared" si="13"/>
        <v>0.14907119849998599</v>
      </c>
      <c r="F57">
        <f>SQRT(F56)</f>
        <v>20</v>
      </c>
    </row>
    <row r="58" spans="2:10" x14ac:dyDescent="0.25">
      <c r="B58">
        <f t="shared" si="12"/>
        <v>46</v>
      </c>
      <c r="C58">
        <f t="shared" si="9"/>
        <v>6.7823299831252681</v>
      </c>
      <c r="D58">
        <f t="shared" si="13"/>
        <v>0.14744195615489714</v>
      </c>
    </row>
    <row r="60" spans="2:10" x14ac:dyDescent="0.25">
      <c r="F60">
        <v>8</v>
      </c>
    </row>
    <row r="61" spans="2:10" x14ac:dyDescent="0.25">
      <c r="F61">
        <f>SQRT(F60)</f>
        <v>2.8284271247461903</v>
      </c>
    </row>
    <row r="66" spans="6:10" x14ac:dyDescent="0.25">
      <c r="G66">
        <v>4</v>
      </c>
    </row>
    <row r="67" spans="6:10" x14ac:dyDescent="0.25">
      <c r="G67">
        <v>5</v>
      </c>
    </row>
    <row r="68" spans="6:10" x14ac:dyDescent="0.25">
      <c r="F68">
        <v>2</v>
      </c>
      <c r="G68">
        <f>F68*SQRT(G66/G67)</f>
        <v>1.7888543819998317</v>
      </c>
      <c r="H68">
        <v>1</v>
      </c>
      <c r="I68">
        <v>5</v>
      </c>
    </row>
    <row r="69" spans="6:10" x14ac:dyDescent="0.25">
      <c r="H69">
        <f>H68/G68</f>
        <v>0.55901699437494745</v>
      </c>
      <c r="I69">
        <f>H69*J69</f>
        <v>0.1118033988749895</v>
      </c>
      <c r="J69">
        <f>H68/I68</f>
        <v>0.2</v>
      </c>
    </row>
    <row r="71" spans="6:10" x14ac:dyDescent="0.25">
      <c r="F71">
        <v>80</v>
      </c>
    </row>
    <row r="72" spans="6:10" x14ac:dyDescent="0.25">
      <c r="F72">
        <f>SQRT(F71)</f>
        <v>8.9442719099991592</v>
      </c>
      <c r="G72">
        <v>1</v>
      </c>
      <c r="H72">
        <f>G72/F72</f>
        <v>0.11180339887498948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3844-AF00-4659-9CA6-FDAA4D3C4028}">
  <dimension ref="A2:T83"/>
  <sheetViews>
    <sheetView workbookViewId="0">
      <selection activeCell="J77" sqref="J77"/>
    </sheetView>
  </sheetViews>
  <sheetFormatPr defaultRowHeight="15" x14ac:dyDescent="0.25"/>
  <sheetData>
    <row r="2" spans="1:19" x14ac:dyDescent="0.25">
      <c r="K2">
        <v>4</v>
      </c>
    </row>
    <row r="3" spans="1:19" x14ac:dyDescent="0.25">
      <c r="K3">
        <v>5</v>
      </c>
    </row>
    <row r="4" spans="1:19" x14ac:dyDescent="0.25">
      <c r="K4">
        <f>K2/K3</f>
        <v>0.8</v>
      </c>
    </row>
    <row r="5" spans="1:19" x14ac:dyDescent="0.25">
      <c r="J5">
        <v>2</v>
      </c>
      <c r="K5">
        <f>SQRT(K4)</f>
        <v>0.89442719099991586</v>
      </c>
    </row>
    <row r="6" spans="1:19" x14ac:dyDescent="0.25">
      <c r="J6">
        <v>1</v>
      </c>
      <c r="K6">
        <f>K5*J5</f>
        <v>1.7888543819998317</v>
      </c>
    </row>
    <row r="7" spans="1:19" x14ac:dyDescent="0.25">
      <c r="E7">
        <v>1</v>
      </c>
      <c r="J7">
        <f>K4</f>
        <v>0.8</v>
      </c>
      <c r="K7">
        <f>J6/K6</f>
        <v>0.55901699437494745</v>
      </c>
      <c r="Q7">
        <v>1</v>
      </c>
    </row>
    <row r="8" spans="1:19" x14ac:dyDescent="0.25">
      <c r="E8">
        <v>1804</v>
      </c>
      <c r="K8">
        <f>K7*J7</f>
        <v>0.44721359549995798</v>
      </c>
      <c r="Q8">
        <v>117</v>
      </c>
    </row>
    <row r="9" spans="1:19" x14ac:dyDescent="0.25">
      <c r="B9" t="str">
        <f>C17</f>
        <v>x_1</v>
      </c>
      <c r="E9">
        <v>1805</v>
      </c>
      <c r="F9" t="str">
        <f>D17</f>
        <v>x_2</v>
      </c>
      <c r="I9" t="str">
        <f>E17</f>
        <v>x_3</v>
      </c>
      <c r="L9" t="str">
        <f>F17</f>
        <v>x_4</v>
      </c>
      <c r="O9" t="str">
        <f>G17</f>
        <v>x_5</v>
      </c>
      <c r="Q9">
        <v>13730</v>
      </c>
      <c r="R9" t="str">
        <f>H17</f>
        <v>y</v>
      </c>
    </row>
    <row r="10" spans="1:19" x14ac:dyDescent="0.25">
      <c r="E10">
        <f>SQRT(E8/E9)</f>
        <v>0.99972295331231709</v>
      </c>
      <c r="K10">
        <v>1</v>
      </c>
      <c r="N10">
        <v>1</v>
      </c>
      <c r="Q10">
        <v>13689</v>
      </c>
    </row>
    <row r="11" spans="1:19" x14ac:dyDescent="0.25">
      <c r="A11">
        <v>1</v>
      </c>
      <c r="B11" s="7">
        <v>1</v>
      </c>
      <c r="C11" s="23">
        <f>B11*A$13</f>
        <v>0.5</v>
      </c>
      <c r="E11">
        <v>95</v>
      </c>
      <c r="F11" s="7">
        <v>29</v>
      </c>
      <c r="G11" s="23">
        <f>F11*E$13</f>
        <v>0.30534775347842946</v>
      </c>
      <c r="H11">
        <v>1</v>
      </c>
      <c r="I11" s="7">
        <v>1</v>
      </c>
      <c r="J11" s="23">
        <f>I11*H$13</f>
        <v>0.5</v>
      </c>
      <c r="K11">
        <v>20</v>
      </c>
      <c r="L11" s="7">
        <v>-1</v>
      </c>
      <c r="M11" s="23">
        <f>L11*K$13</f>
        <v>-0.22360679774997896</v>
      </c>
      <c r="N11">
        <v>80</v>
      </c>
      <c r="O11" s="7">
        <v>1</v>
      </c>
      <c r="P11" s="23">
        <f>O11*N$13</f>
        <v>0.11180339887498948</v>
      </c>
      <c r="Q11">
        <f>SQRT(Q9/Q10)</f>
        <v>1.0014964331235574</v>
      </c>
      <c r="R11" s="7">
        <v>-12</v>
      </c>
      <c r="S11" s="23">
        <f>R11*Q$13</f>
        <v>-0.10241085157359613</v>
      </c>
    </row>
    <row r="12" spans="1:19" x14ac:dyDescent="0.25">
      <c r="A12">
        <v>2</v>
      </c>
      <c r="B12" s="7">
        <v>-1</v>
      </c>
      <c r="C12" s="23">
        <f t="shared" ref="C12:C15" si="0">B12*A$13</f>
        <v>-0.5</v>
      </c>
      <c r="E12">
        <f>E11*E10</f>
        <v>94.973680564670119</v>
      </c>
      <c r="F12" s="7">
        <v>-76</v>
      </c>
      <c r="G12" s="23">
        <f t="shared" ref="G12:G15" si="1">F12*E$13</f>
        <v>-0.80022169877105653</v>
      </c>
      <c r="H12">
        <v>2</v>
      </c>
      <c r="I12" s="7">
        <v>-1</v>
      </c>
      <c r="J12" s="23">
        <f t="shared" ref="J12:J15" si="2">I12*H$13</f>
        <v>-0.5</v>
      </c>
      <c r="K12">
        <f>SQRT(K11)</f>
        <v>4.4721359549995796</v>
      </c>
      <c r="L12" s="7">
        <v>-1</v>
      </c>
      <c r="M12" s="23">
        <f t="shared" ref="M12:M15" si="3">L12*K$13</f>
        <v>-0.22360679774997896</v>
      </c>
      <c r="N12">
        <f>SQRT(N11)</f>
        <v>8.9442719099991592</v>
      </c>
      <c r="O12" s="7">
        <v>1</v>
      </c>
      <c r="P12" s="23">
        <f t="shared" ref="P12:P15" si="4">O12*N$13</f>
        <v>0.11180339887498948</v>
      </c>
      <c r="Q12">
        <f>Q11*Q8</f>
        <v>117.17508267545621</v>
      </c>
      <c r="R12" s="7">
        <v>-42</v>
      </c>
      <c r="S12" s="23">
        <f t="shared" ref="S12:S15" si="5">R12*Q$13</f>
        <v>-0.35843798050758646</v>
      </c>
    </row>
    <row r="13" spans="1:19" x14ac:dyDescent="0.25">
      <c r="A13" s="20">
        <f>A11/A12</f>
        <v>0.5</v>
      </c>
      <c r="B13" s="7">
        <v>0</v>
      </c>
      <c r="C13" s="23">
        <f t="shared" si="0"/>
        <v>0</v>
      </c>
      <c r="E13" s="20">
        <f>E7/E12</f>
        <v>1.0529232878566533E-2</v>
      </c>
      <c r="F13" s="7">
        <v>-1</v>
      </c>
      <c r="G13" s="23">
        <f t="shared" si="1"/>
        <v>-1.0529232878566533E-2</v>
      </c>
      <c r="H13" s="20">
        <f>H11/H12</f>
        <v>0.5</v>
      </c>
      <c r="I13" s="7">
        <v>0</v>
      </c>
      <c r="J13" s="23">
        <f t="shared" si="2"/>
        <v>0</v>
      </c>
      <c r="K13" s="20">
        <f>K10/K12</f>
        <v>0.22360679774997896</v>
      </c>
      <c r="L13" s="7">
        <v>-1</v>
      </c>
      <c r="M13" s="23">
        <f t="shared" si="3"/>
        <v>-0.22360679774997896</v>
      </c>
      <c r="N13" s="20">
        <f>N10/N12</f>
        <v>0.11180339887498948</v>
      </c>
      <c r="O13" s="7">
        <v>1</v>
      </c>
      <c r="P13" s="23">
        <f t="shared" si="4"/>
        <v>0.11180339887498948</v>
      </c>
      <c r="Q13" s="20">
        <f>Q7/Q12</f>
        <v>8.5342376311330105E-3</v>
      </c>
      <c r="R13" s="7">
        <v>-27</v>
      </c>
      <c r="S13" s="23">
        <f t="shared" si="5"/>
        <v>-0.23042441604059127</v>
      </c>
    </row>
    <row r="14" spans="1:19" x14ac:dyDescent="0.25">
      <c r="B14" s="7">
        <v>1</v>
      </c>
      <c r="C14" s="23">
        <f t="shared" si="0"/>
        <v>0.5</v>
      </c>
      <c r="F14" s="7">
        <v>49</v>
      </c>
      <c r="G14" s="23">
        <f t="shared" si="1"/>
        <v>0.51593241104976018</v>
      </c>
      <c r="I14" s="7">
        <v>-1</v>
      </c>
      <c r="J14" s="23">
        <f t="shared" si="2"/>
        <v>-0.5</v>
      </c>
      <c r="L14" s="7">
        <v>-1</v>
      </c>
      <c r="M14" s="23">
        <f t="shared" si="3"/>
        <v>-0.22360679774997896</v>
      </c>
      <c r="O14" s="7">
        <v>1</v>
      </c>
      <c r="P14" s="23">
        <f t="shared" si="4"/>
        <v>0.11180339887498948</v>
      </c>
      <c r="R14" s="7">
        <v>-22</v>
      </c>
      <c r="S14" s="23">
        <f t="shared" si="5"/>
        <v>-0.18775322788492624</v>
      </c>
    </row>
    <row r="15" spans="1:19" x14ac:dyDescent="0.25">
      <c r="B15" s="7">
        <v>-1</v>
      </c>
      <c r="C15" s="23">
        <f t="shared" si="0"/>
        <v>-0.5</v>
      </c>
      <c r="F15" s="7">
        <v>-1</v>
      </c>
      <c r="G15" s="23">
        <f t="shared" si="1"/>
        <v>-1.0529232878566533E-2</v>
      </c>
      <c r="I15" s="7">
        <v>1</v>
      </c>
      <c r="J15" s="23">
        <f t="shared" si="2"/>
        <v>0.5</v>
      </c>
      <c r="L15" s="7">
        <v>4</v>
      </c>
      <c r="M15" s="23">
        <f t="shared" si="3"/>
        <v>0.89442719099991586</v>
      </c>
      <c r="O15" s="7">
        <v>-4</v>
      </c>
      <c r="P15" s="23">
        <f t="shared" si="4"/>
        <v>-0.44721359549995793</v>
      </c>
      <c r="R15" s="7">
        <v>103</v>
      </c>
      <c r="S15" s="23">
        <f t="shared" si="5"/>
        <v>0.87902647600670003</v>
      </c>
    </row>
    <row r="17" spans="1:20" x14ac:dyDescent="0.25">
      <c r="C17" t="s">
        <v>92</v>
      </c>
      <c r="D17" t="s">
        <v>93</v>
      </c>
      <c r="E17" t="s">
        <v>94</v>
      </c>
      <c r="F17" t="s">
        <v>95</v>
      </c>
      <c r="G17" t="s">
        <v>96</v>
      </c>
      <c r="H17" t="s">
        <v>97</v>
      </c>
    </row>
    <row r="19" spans="1:20" x14ac:dyDescent="0.25">
      <c r="C19" s="24">
        <f>C11</f>
        <v>0.5</v>
      </c>
      <c r="D19" s="24">
        <f>G11</f>
        <v>0.30534775347842946</v>
      </c>
      <c r="E19" s="24">
        <f>J11</f>
        <v>0.5</v>
      </c>
      <c r="F19" s="24">
        <f>M11</f>
        <v>-0.22360679774997896</v>
      </c>
      <c r="G19" s="24">
        <f>P11</f>
        <v>0.11180339887498948</v>
      </c>
      <c r="H19" s="24">
        <f>S11</f>
        <v>-0.10241085157359613</v>
      </c>
    </row>
    <row r="20" spans="1:20" x14ac:dyDescent="0.25">
      <c r="C20" s="24">
        <f t="shared" ref="C20:C23" si="6">C12</f>
        <v>-0.5</v>
      </c>
      <c r="D20" s="24">
        <f t="shared" ref="D20:D23" si="7">G12</f>
        <v>-0.80022169877105653</v>
      </c>
      <c r="E20" s="24">
        <f t="shared" ref="E20:E23" si="8">J12</f>
        <v>-0.5</v>
      </c>
      <c r="F20" s="24">
        <f t="shared" ref="F20:F23" si="9">M12</f>
        <v>-0.22360679774997896</v>
      </c>
      <c r="G20" s="24">
        <f t="shared" ref="G20:G23" si="10">P12</f>
        <v>0.11180339887498948</v>
      </c>
      <c r="H20" s="24">
        <f t="shared" ref="H20:H23" si="11">S12</f>
        <v>-0.35843798050758646</v>
      </c>
    </row>
    <row r="21" spans="1:20" x14ac:dyDescent="0.25">
      <c r="C21" s="24">
        <f t="shared" si="6"/>
        <v>0</v>
      </c>
      <c r="D21" s="24">
        <f t="shared" si="7"/>
        <v>-1.0529232878566533E-2</v>
      </c>
      <c r="E21" s="24">
        <f t="shared" si="8"/>
        <v>0</v>
      </c>
      <c r="F21" s="24">
        <f t="shared" si="9"/>
        <v>-0.22360679774997896</v>
      </c>
      <c r="G21" s="24">
        <f t="shared" si="10"/>
        <v>0.11180339887498948</v>
      </c>
      <c r="H21" s="24">
        <f t="shared" si="11"/>
        <v>-0.23042441604059127</v>
      </c>
    </row>
    <row r="22" spans="1:20" x14ac:dyDescent="0.25">
      <c r="C22" s="24">
        <f t="shared" si="6"/>
        <v>0.5</v>
      </c>
      <c r="D22" s="24">
        <f t="shared" si="7"/>
        <v>0.51593241104976018</v>
      </c>
      <c r="E22" s="24">
        <f t="shared" si="8"/>
        <v>-0.5</v>
      </c>
      <c r="F22" s="24">
        <f t="shared" si="9"/>
        <v>-0.22360679774997896</v>
      </c>
      <c r="G22" s="24">
        <f t="shared" si="10"/>
        <v>0.11180339887498948</v>
      </c>
      <c r="H22" s="24">
        <f t="shared" si="11"/>
        <v>-0.18775322788492624</v>
      </c>
    </row>
    <row r="23" spans="1:20" x14ac:dyDescent="0.25">
      <c r="C23" s="24">
        <f t="shared" si="6"/>
        <v>-0.5</v>
      </c>
      <c r="D23" s="24">
        <f t="shared" si="7"/>
        <v>-1.0529232878566533E-2</v>
      </c>
      <c r="E23" s="24">
        <f t="shared" si="8"/>
        <v>0.5</v>
      </c>
      <c r="F23" s="24">
        <f t="shared" si="9"/>
        <v>0.89442719099991586</v>
      </c>
      <c r="G23" s="24">
        <f t="shared" si="10"/>
        <v>-0.44721359549995793</v>
      </c>
      <c r="H23" s="24">
        <f t="shared" si="11"/>
        <v>0.87902647600670003</v>
      </c>
    </row>
    <row r="24" spans="1:20" x14ac:dyDescent="0.25">
      <c r="C24" s="22"/>
      <c r="D24" s="22"/>
      <c r="E24" s="22"/>
      <c r="F24" s="22"/>
      <c r="G24" s="22"/>
      <c r="H24" s="22"/>
      <c r="S24">
        <f>1/5</f>
        <v>0.2</v>
      </c>
      <c r="T24">
        <f>0-S24</f>
        <v>-0.2</v>
      </c>
    </row>
    <row r="25" spans="1:20" x14ac:dyDescent="0.25">
      <c r="C25" s="22">
        <f>SUM(C19:C24)</f>
        <v>0</v>
      </c>
      <c r="D25" s="22">
        <f t="shared" ref="D25:H25" si="12">SUM(D19:D24)</f>
        <v>1.9081958235744878E-17</v>
      </c>
      <c r="E25" s="22">
        <f t="shared" si="12"/>
        <v>0</v>
      </c>
      <c r="F25" s="22">
        <f t="shared" si="12"/>
        <v>0</v>
      </c>
      <c r="G25" s="22">
        <f t="shared" si="12"/>
        <v>0</v>
      </c>
      <c r="H25" s="22">
        <f t="shared" si="12"/>
        <v>0</v>
      </c>
    </row>
    <row r="26" spans="1:20" x14ac:dyDescent="0.25">
      <c r="R26">
        <f>4/5</f>
        <v>0.8</v>
      </c>
    </row>
    <row r="27" spans="1:20" x14ac:dyDescent="0.25">
      <c r="A27" s="26">
        <v>4</v>
      </c>
      <c r="C27" s="28">
        <f>ROUND(C19,$A$27)</f>
        <v>0.5</v>
      </c>
      <c r="D27" s="28">
        <f t="shared" ref="D27:H27" si="13">ROUND(D19,$A$27)</f>
        <v>0.30530000000000002</v>
      </c>
      <c r="E27" s="28">
        <f t="shared" si="13"/>
        <v>0.5</v>
      </c>
      <c r="F27" s="28">
        <f t="shared" si="13"/>
        <v>-0.22359999999999999</v>
      </c>
      <c r="G27" s="28">
        <f t="shared" si="13"/>
        <v>0.1118</v>
      </c>
      <c r="H27" s="29">
        <f t="shared" si="13"/>
        <v>-0.1024</v>
      </c>
      <c r="J27" t="str">
        <f>C27&amp;" &amp; "&amp;D27&amp;" &amp; "&amp;E27&amp;" &amp; "&amp;F27&amp;" &amp; "&amp;G27&amp;" &amp; "&amp;H27&amp;" \\"</f>
        <v>0,5 &amp; 0,3053 &amp; 0,5 &amp; -0,2236 &amp; 0,1118 &amp; -0,1024 \\</v>
      </c>
      <c r="R27">
        <f>R26/S24</f>
        <v>4</v>
      </c>
    </row>
    <row r="28" spans="1:20" x14ac:dyDescent="0.25">
      <c r="C28" s="28">
        <f t="shared" ref="C28:H28" si="14">ROUND(C20,$A$27)</f>
        <v>-0.5</v>
      </c>
      <c r="D28" s="28">
        <f t="shared" si="14"/>
        <v>-0.80020000000000002</v>
      </c>
      <c r="E28" s="28">
        <f t="shared" si="14"/>
        <v>-0.5</v>
      </c>
      <c r="F28" s="28">
        <f t="shared" si="14"/>
        <v>-0.22359999999999999</v>
      </c>
      <c r="G28" s="28">
        <f t="shared" si="14"/>
        <v>0.1118</v>
      </c>
      <c r="H28" s="29">
        <f t="shared" si="14"/>
        <v>-0.3584</v>
      </c>
      <c r="J28" t="str">
        <f t="shared" ref="J28:J31" si="15">C28&amp;" &amp; "&amp;D28&amp;" &amp; "&amp;E28&amp;" &amp; "&amp;F28&amp;" &amp; "&amp;G28&amp;" &amp; "&amp;H28&amp;" \\"</f>
        <v>-0,5 &amp; -0,8002 &amp; -0,5 &amp; -0,2236 &amp; 0,1118 &amp; -0,3584 \\</v>
      </c>
    </row>
    <row r="29" spans="1:20" x14ac:dyDescent="0.25">
      <c r="C29" s="28">
        <f t="shared" ref="C29:H29" si="16">ROUND(C21,$A$27)</f>
        <v>0</v>
      </c>
      <c r="D29" s="28">
        <f t="shared" si="16"/>
        <v>-1.0500000000000001E-2</v>
      </c>
      <c r="E29" s="28">
        <f t="shared" si="16"/>
        <v>0</v>
      </c>
      <c r="F29" s="28">
        <f t="shared" si="16"/>
        <v>-0.22359999999999999</v>
      </c>
      <c r="G29" s="28">
        <f t="shared" si="16"/>
        <v>0.1118</v>
      </c>
      <c r="H29" s="29">
        <f t="shared" si="16"/>
        <v>-0.23039999999999999</v>
      </c>
      <c r="J29" t="str">
        <f t="shared" si="15"/>
        <v>0 &amp; -0,0105 &amp; 0 &amp; -0,2236 &amp; 0,1118 &amp; -0,2304 \\</v>
      </c>
    </row>
    <row r="30" spans="1:20" x14ac:dyDescent="0.25">
      <c r="C30" s="28">
        <f t="shared" ref="C30:H30" si="17">ROUND(C22,$A$27)</f>
        <v>0.5</v>
      </c>
      <c r="D30" s="28">
        <f t="shared" si="17"/>
        <v>0.51590000000000003</v>
      </c>
      <c r="E30" s="28">
        <f t="shared" si="17"/>
        <v>-0.5</v>
      </c>
      <c r="F30" s="28">
        <f t="shared" si="17"/>
        <v>-0.22359999999999999</v>
      </c>
      <c r="G30" s="28">
        <f t="shared" si="17"/>
        <v>0.1118</v>
      </c>
      <c r="H30" s="29">
        <f t="shared" si="17"/>
        <v>-0.18779999999999999</v>
      </c>
      <c r="J30" t="str">
        <f t="shared" si="15"/>
        <v>0,5 &amp; 0,5159 &amp; -0,5 &amp; -0,2236 &amp; 0,1118 &amp; -0,1878 \\</v>
      </c>
    </row>
    <row r="31" spans="1:20" x14ac:dyDescent="0.25">
      <c r="C31" s="28">
        <f t="shared" ref="C31:H31" si="18">ROUND(C23,$A$27)</f>
        <v>-0.5</v>
      </c>
      <c r="D31" s="28">
        <f t="shared" si="18"/>
        <v>-1.0500000000000001E-2</v>
      </c>
      <c r="E31" s="28">
        <f t="shared" si="18"/>
        <v>0.5</v>
      </c>
      <c r="F31" s="28">
        <f t="shared" si="18"/>
        <v>0.89439999999999997</v>
      </c>
      <c r="G31" s="28">
        <f t="shared" si="18"/>
        <v>-0.44719999999999999</v>
      </c>
      <c r="H31" s="29">
        <f t="shared" si="18"/>
        <v>0.879</v>
      </c>
      <c r="J31" t="str">
        <f t="shared" si="15"/>
        <v>-0,5 &amp; -0,0105 &amp; 0,5 &amp; 0,8944 &amp; -0,4472 &amp; 0,879 \\</v>
      </c>
    </row>
    <row r="33" spans="3:20" x14ac:dyDescent="0.25">
      <c r="C33" s="27">
        <f>SUM(C27:C32)</f>
        <v>0</v>
      </c>
      <c r="D33" s="27">
        <f t="shared" ref="D33:H33" si="19">SUM(D27:D32)</f>
        <v>6.4184768611141862E-17</v>
      </c>
      <c r="E33" s="27">
        <f t="shared" si="19"/>
        <v>0</v>
      </c>
      <c r="F33" s="27">
        <f t="shared" si="19"/>
        <v>0</v>
      </c>
      <c r="G33" s="27">
        <f t="shared" si="19"/>
        <v>0</v>
      </c>
      <c r="H33" s="27">
        <f t="shared" si="19"/>
        <v>0</v>
      </c>
      <c r="Q33">
        <v>1</v>
      </c>
      <c r="R33">
        <f>Q33^2</f>
        <v>1</v>
      </c>
      <c r="S33">
        <f t="shared" ref="S33:S38" si="20">Q33/$R$41</f>
        <v>0.1889822365046136</v>
      </c>
      <c r="T33">
        <f>S33^2</f>
        <v>3.5714285714285705E-2</v>
      </c>
    </row>
    <row r="34" spans="3:20" x14ac:dyDescent="0.25">
      <c r="Q34">
        <v>2</v>
      </c>
      <c r="R34">
        <f t="shared" ref="R34:R38" si="21">Q34^2</f>
        <v>4</v>
      </c>
      <c r="S34">
        <f t="shared" si="20"/>
        <v>0.3779644730092272</v>
      </c>
      <c r="T34">
        <f t="shared" ref="T34:T38" si="22">S34^2</f>
        <v>0.14285714285714282</v>
      </c>
    </row>
    <row r="35" spans="3:20" x14ac:dyDescent="0.25">
      <c r="C35" s="25"/>
      <c r="I35" s="30">
        <v>-0.1024</v>
      </c>
      <c r="J35" s="30">
        <v>-0.3584</v>
      </c>
      <c r="K35" s="30">
        <v>-0.23039999999999999</v>
      </c>
      <c r="L35" s="30">
        <v>-0.18779999999999999</v>
      </c>
      <c r="M35" s="30">
        <v>0.879</v>
      </c>
      <c r="Q35">
        <v>3</v>
      </c>
      <c r="R35">
        <f t="shared" si="21"/>
        <v>9</v>
      </c>
      <c r="S35">
        <f t="shared" si="20"/>
        <v>0.56694670951384085</v>
      </c>
      <c r="T35">
        <f t="shared" si="22"/>
        <v>0.32142857142857145</v>
      </c>
    </row>
    <row r="36" spans="3:20" x14ac:dyDescent="0.25">
      <c r="C36" s="30">
        <v>0.5</v>
      </c>
      <c r="D36" s="30">
        <v>0.30530000000000002</v>
      </c>
      <c r="E36" s="30">
        <v>0.5</v>
      </c>
      <c r="F36" s="30">
        <v>-0.22359999999999999</v>
      </c>
      <c r="G36" s="30">
        <v>0.1118</v>
      </c>
      <c r="H36" s="30">
        <v>-0.1024</v>
      </c>
      <c r="I36">
        <f>$C36*I$35</f>
        <v>-5.1200000000000002E-2</v>
      </c>
      <c r="Q36">
        <v>-1</v>
      </c>
      <c r="R36">
        <f t="shared" si="21"/>
        <v>1</v>
      </c>
      <c r="S36">
        <f t="shared" si="20"/>
        <v>-0.1889822365046136</v>
      </c>
      <c r="T36">
        <f t="shared" si="22"/>
        <v>3.5714285714285705E-2</v>
      </c>
    </row>
    <row r="37" spans="3:20" x14ac:dyDescent="0.25">
      <c r="C37" s="30">
        <v>-0.5</v>
      </c>
      <c r="D37" s="30">
        <v>-0.80020000000000002</v>
      </c>
      <c r="E37" s="30">
        <v>-0.5</v>
      </c>
      <c r="F37" s="30">
        <v>-0.22359999999999999</v>
      </c>
      <c r="G37" s="30">
        <v>0.1118</v>
      </c>
      <c r="H37" s="30">
        <v>-0.3584</v>
      </c>
      <c r="J37">
        <f>$C37*J$35</f>
        <v>0.1792</v>
      </c>
      <c r="Q37">
        <v>-2</v>
      </c>
      <c r="R37">
        <f t="shared" si="21"/>
        <v>4</v>
      </c>
      <c r="S37">
        <f t="shared" si="20"/>
        <v>-0.3779644730092272</v>
      </c>
      <c r="T37">
        <f t="shared" si="22"/>
        <v>0.14285714285714282</v>
      </c>
    </row>
    <row r="38" spans="3:20" x14ac:dyDescent="0.25">
      <c r="C38" s="30">
        <v>0</v>
      </c>
      <c r="D38" s="30">
        <v>-1.0500000000000001E-2</v>
      </c>
      <c r="E38" s="30">
        <v>0</v>
      </c>
      <c r="F38" s="30">
        <v>-0.22359999999999999</v>
      </c>
      <c r="G38" s="30">
        <v>0.1118</v>
      </c>
      <c r="H38" s="30">
        <v>-0.23039999999999999</v>
      </c>
      <c r="K38">
        <f>$C38*K$35</f>
        <v>0</v>
      </c>
      <c r="Q38">
        <v>-3</v>
      </c>
      <c r="R38">
        <f t="shared" si="21"/>
        <v>9</v>
      </c>
      <c r="S38">
        <f t="shared" si="20"/>
        <v>-0.56694670951384085</v>
      </c>
      <c r="T38">
        <f t="shared" si="22"/>
        <v>0.32142857142857145</v>
      </c>
    </row>
    <row r="39" spans="3:20" x14ac:dyDescent="0.25">
      <c r="C39" s="30">
        <v>0.5</v>
      </c>
      <c r="D39" s="30">
        <v>0.51590000000000003</v>
      </c>
      <c r="E39" s="30">
        <v>-0.5</v>
      </c>
      <c r="F39" s="30">
        <v>-0.22359999999999999</v>
      </c>
      <c r="G39" s="30">
        <v>0.1118</v>
      </c>
      <c r="H39" s="30">
        <v>-0.18779999999999999</v>
      </c>
      <c r="L39">
        <f>$C39*L$35</f>
        <v>-9.3899999999999997E-2</v>
      </c>
    </row>
    <row r="40" spans="3:20" x14ac:dyDescent="0.25">
      <c r="C40" s="30">
        <v>-0.5</v>
      </c>
      <c r="D40" s="30">
        <v>-1.0500000000000001E-2</v>
      </c>
      <c r="E40" s="30">
        <v>0.5</v>
      </c>
      <c r="F40" s="30">
        <v>0.89439999999999997</v>
      </c>
      <c r="G40" s="30">
        <v>-0.44719999999999999</v>
      </c>
      <c r="H40" s="30">
        <v>0.879</v>
      </c>
      <c r="M40">
        <f>$C40*M$35</f>
        <v>-0.4395</v>
      </c>
      <c r="Q40">
        <f>SUM(Q33:Q39)</f>
        <v>0</v>
      </c>
      <c r="R40">
        <f>SUM(R33:R39)</f>
        <v>28</v>
      </c>
      <c r="T40">
        <f>SUM(T33:T39)</f>
        <v>1</v>
      </c>
    </row>
    <row r="41" spans="3:20" x14ac:dyDescent="0.25">
      <c r="R41">
        <f>SQRT(R40)</f>
        <v>5.2915026221291814</v>
      </c>
    </row>
    <row r="43" spans="3:20" x14ac:dyDescent="0.25">
      <c r="C43" s="30">
        <v>0.5</v>
      </c>
      <c r="D43" s="30">
        <v>-0.5</v>
      </c>
      <c r="E43" s="30">
        <v>0</v>
      </c>
      <c r="F43" s="30">
        <v>0.5</v>
      </c>
      <c r="G43" s="30">
        <v>-0.5</v>
      </c>
      <c r="I43" t="str">
        <f>C43&amp;" \\ "&amp;D43&amp;" \\ "&amp;E43&amp;" \\ "&amp;F43&amp;" \\ "&amp;G43</f>
        <v>0,5 \\ -0,5 \\ 0 \\ 0,5 \\ -0,5</v>
      </c>
    </row>
    <row r="44" spans="3:20" x14ac:dyDescent="0.25">
      <c r="C44" s="30">
        <v>0.30530000000000002</v>
      </c>
      <c r="D44" s="30">
        <v>-0.80020000000000002</v>
      </c>
      <c r="E44" s="30">
        <v>-1.0500000000000001E-2</v>
      </c>
      <c r="F44" s="30">
        <v>0.51590000000000003</v>
      </c>
      <c r="G44" s="30">
        <v>-1.0500000000000001E-2</v>
      </c>
    </row>
    <row r="45" spans="3:20" x14ac:dyDescent="0.25">
      <c r="C45" s="30">
        <v>0.5</v>
      </c>
      <c r="D45" s="30">
        <v>-0.5</v>
      </c>
      <c r="E45" s="30">
        <v>0</v>
      </c>
      <c r="F45" s="30">
        <v>-0.5</v>
      </c>
      <c r="G45" s="30">
        <v>0.5</v>
      </c>
    </row>
    <row r="46" spans="3:20" x14ac:dyDescent="0.25">
      <c r="C46" s="30">
        <v>-0.22359999999999999</v>
      </c>
      <c r="D46" s="30">
        <v>-0.22359999999999999</v>
      </c>
      <c r="E46" s="30">
        <v>-0.22359999999999999</v>
      </c>
      <c r="F46" s="30">
        <v>-0.22359999999999999</v>
      </c>
      <c r="G46" s="30">
        <v>0.89439999999999997</v>
      </c>
    </row>
    <row r="47" spans="3:20" x14ac:dyDescent="0.25">
      <c r="C47" s="30">
        <v>0.1118</v>
      </c>
      <c r="D47" s="30">
        <v>0.1118</v>
      </c>
      <c r="E47" s="30">
        <v>0.1118</v>
      </c>
      <c r="F47" s="30">
        <v>0.1118</v>
      </c>
      <c r="G47" s="30">
        <v>-0.44719999999999999</v>
      </c>
    </row>
    <row r="48" spans="3:20" x14ac:dyDescent="0.25">
      <c r="C48" s="30">
        <v>-0.1024</v>
      </c>
      <c r="D48" s="30">
        <v>-0.3584</v>
      </c>
      <c r="E48" s="30">
        <v>-0.23039999999999999</v>
      </c>
      <c r="F48" s="30">
        <v>-0.18779999999999999</v>
      </c>
      <c r="G48" s="30">
        <v>0.879</v>
      </c>
      <c r="I48" t="str">
        <f>C48&amp;" &amp; "&amp;D48&amp;" &amp; "&amp;E48&amp;" &amp; "&amp;F48&amp;" &amp; "&amp;G48</f>
        <v>-0,1024 &amp; -0,3584 &amp; -0,2304 &amp; -0,1878 &amp; 0,879</v>
      </c>
    </row>
    <row r="51" spans="3:13" x14ac:dyDescent="0.25">
      <c r="C51" s="25"/>
      <c r="I51" s="30"/>
      <c r="J51" s="30"/>
      <c r="K51" s="30"/>
      <c r="L51" s="30"/>
      <c r="M51" s="30"/>
    </row>
    <row r="52" spans="3:13" x14ac:dyDescent="0.25">
      <c r="C52" s="30">
        <v>0.5</v>
      </c>
      <c r="D52" s="30">
        <v>0.30530000000000002</v>
      </c>
      <c r="E52" s="30">
        <v>0.5</v>
      </c>
      <c r="F52" s="30">
        <v>-0.22359999999999999</v>
      </c>
      <c r="G52" s="30">
        <v>0.1118</v>
      </c>
      <c r="H52" s="31">
        <v>-0.1024</v>
      </c>
      <c r="J52" t="str">
        <f>D52&amp;" &amp; "&amp;H52&amp;" \\"</f>
        <v>0,3053 &amp; -0,1024 \\</v>
      </c>
    </row>
    <row r="53" spans="3:13" x14ac:dyDescent="0.25">
      <c r="C53" s="30">
        <v>-0.5</v>
      </c>
      <c r="D53" s="30">
        <v>-0.80020000000000002</v>
      </c>
      <c r="E53" s="30">
        <v>-0.5</v>
      </c>
      <c r="F53" s="30">
        <v>-0.22359999999999999</v>
      </c>
      <c r="G53" s="30">
        <v>0.1118</v>
      </c>
      <c r="H53" s="31">
        <v>-0.3584</v>
      </c>
      <c r="J53" t="str">
        <f t="shared" ref="J53:J56" si="23">D53&amp;" &amp; "&amp;H53&amp;" \\"</f>
        <v>-0,8002 &amp; -0,3584 \\</v>
      </c>
    </row>
    <row r="54" spans="3:13" x14ac:dyDescent="0.25">
      <c r="C54" s="30">
        <v>0</v>
      </c>
      <c r="D54" s="30">
        <v>-1.0500000000000001E-2</v>
      </c>
      <c r="E54" s="30">
        <v>0</v>
      </c>
      <c r="F54" s="30">
        <v>-0.22359999999999999</v>
      </c>
      <c r="G54" s="30">
        <v>0.1118</v>
      </c>
      <c r="H54" s="31">
        <v>-0.23039999999999999</v>
      </c>
      <c r="J54" t="str">
        <f t="shared" si="23"/>
        <v>-0,0105 &amp; -0,2304 \\</v>
      </c>
    </row>
    <row r="55" spans="3:13" x14ac:dyDescent="0.25">
      <c r="C55" s="30">
        <v>0.5</v>
      </c>
      <c r="D55" s="30">
        <v>0.51590000000000003</v>
      </c>
      <c r="E55" s="30">
        <v>-0.5</v>
      </c>
      <c r="F55" s="30">
        <v>-0.22359999999999999</v>
      </c>
      <c r="G55" s="30">
        <v>0.1118</v>
      </c>
      <c r="H55" s="31">
        <v>-0.18779999999999999</v>
      </c>
      <c r="J55" t="str">
        <f t="shared" si="23"/>
        <v>0,5159 &amp; -0,1878 \\</v>
      </c>
    </row>
    <row r="56" spans="3:13" x14ac:dyDescent="0.25">
      <c r="C56" s="30">
        <v>-0.5</v>
      </c>
      <c r="D56" s="30">
        <v>-1.0500000000000001E-2</v>
      </c>
      <c r="E56" s="30">
        <v>0.5</v>
      </c>
      <c r="F56" s="30">
        <v>0.89439999999999997</v>
      </c>
      <c r="G56" s="30">
        <v>-0.44719999999999999</v>
      </c>
      <c r="H56" s="31">
        <v>0.879</v>
      </c>
      <c r="J56" t="str">
        <f t="shared" si="23"/>
        <v>-0,0105 &amp; 0,879 \\</v>
      </c>
    </row>
    <row r="59" spans="3:13" x14ac:dyDescent="0.25">
      <c r="C59" s="30">
        <v>0.5</v>
      </c>
      <c r="D59" s="30">
        <v>-0.5</v>
      </c>
      <c r="E59" s="30">
        <v>0</v>
      </c>
      <c r="F59" s="30">
        <v>0.5</v>
      </c>
      <c r="G59" s="30">
        <v>-0.5</v>
      </c>
      <c r="I59" t="str">
        <f>C59&amp;" \\ "&amp;D59&amp;" \\ "&amp;E59&amp;" \\ "&amp;F59&amp;" \\ "&amp;G59</f>
        <v>0,5 \\ -0,5 \\ 0 \\ 0,5 \\ -0,5</v>
      </c>
    </row>
    <row r="60" spans="3:13" x14ac:dyDescent="0.25">
      <c r="C60" s="30">
        <v>0.30530000000000002</v>
      </c>
      <c r="D60" s="30">
        <v>-0.80020000000000002</v>
      </c>
      <c r="E60" s="30">
        <v>-1.0500000000000001E-2</v>
      </c>
      <c r="F60" s="30">
        <v>0.51590000000000003</v>
      </c>
      <c r="G60" s="30">
        <v>-1.0500000000000001E-2</v>
      </c>
      <c r="I60" t="str">
        <f>C60&amp;" &amp; "&amp;D60&amp;" &amp; "&amp;E60&amp;" &amp; "&amp;F60&amp;" &amp; "&amp;G60</f>
        <v>0,3053 &amp; -0,8002 &amp; -0,0105 &amp; 0,5159 &amp; -0,0105</v>
      </c>
    </row>
    <row r="61" spans="3:13" x14ac:dyDescent="0.25">
      <c r="C61" s="30">
        <v>0.5</v>
      </c>
      <c r="D61" s="30">
        <v>-0.5</v>
      </c>
      <c r="E61" s="30">
        <v>0</v>
      </c>
      <c r="F61" s="30">
        <v>-0.5</v>
      </c>
      <c r="G61" s="30">
        <v>0.5</v>
      </c>
    </row>
    <row r="62" spans="3:13" x14ac:dyDescent="0.25">
      <c r="C62" s="30">
        <v>-0.22359999999999999</v>
      </c>
      <c r="D62" s="30">
        <v>-0.22359999999999999</v>
      </c>
      <c r="E62" s="30">
        <v>-0.22359999999999999</v>
      </c>
      <c r="F62" s="30">
        <v>-0.22359999999999999</v>
      </c>
      <c r="G62" s="30">
        <v>0.89439999999999997</v>
      </c>
    </row>
    <row r="63" spans="3:13" x14ac:dyDescent="0.25">
      <c r="C63" s="30">
        <v>0.1118</v>
      </c>
      <c r="D63" s="30">
        <v>0.1118</v>
      </c>
      <c r="E63" s="30">
        <v>0.1118</v>
      </c>
      <c r="F63" s="30">
        <v>0.1118</v>
      </c>
      <c r="G63" s="30">
        <v>-0.44719999999999999</v>
      </c>
    </row>
    <row r="64" spans="3:13" x14ac:dyDescent="0.25">
      <c r="C64" s="30">
        <v>-0.1024</v>
      </c>
      <c r="D64" s="30">
        <v>-0.3584</v>
      </c>
      <c r="E64" s="30">
        <v>-0.23039999999999999</v>
      </c>
      <c r="F64" s="30">
        <v>-0.18779999999999999</v>
      </c>
      <c r="G64" s="30">
        <v>0.879</v>
      </c>
      <c r="I64" t="str">
        <f>C64&amp;" &amp; "&amp;D64&amp;" &amp; "&amp;E64&amp;" &amp; "&amp;F64&amp;" &amp; "&amp;G64</f>
        <v>-0,1024 &amp; -0,3584 &amp; -0,2304 &amp; -0,1878 &amp; 0,879</v>
      </c>
    </row>
    <row r="69" spans="3:17" x14ac:dyDescent="0.25">
      <c r="C69" s="11">
        <v>0.5</v>
      </c>
      <c r="D69" s="11">
        <v>0.30534775347842946</v>
      </c>
      <c r="E69" s="11">
        <v>0.5</v>
      </c>
      <c r="F69" s="11">
        <v>-0.22360679774997896</v>
      </c>
      <c r="G69" s="11">
        <v>0.11180339887498948</v>
      </c>
      <c r="H69" s="11">
        <v>-0.10241085157359613</v>
      </c>
      <c r="J69">
        <f>C69*$H69</f>
        <v>-5.1205425786798063E-2</v>
      </c>
      <c r="K69">
        <f t="shared" ref="K69:O69" si="24">D69*$H69</f>
        <v>-3.127092345981046E-2</v>
      </c>
      <c r="L69">
        <f t="shared" si="24"/>
        <v>-5.1205425786798063E-2</v>
      </c>
      <c r="M69">
        <f t="shared" si="24"/>
        <v>2.2899762575220223E-2</v>
      </c>
      <c r="N69">
        <f t="shared" si="24"/>
        <v>-1.1449881287610111E-2</v>
      </c>
      <c r="O69">
        <f t="shared" si="24"/>
        <v>1.0487982520029136E-2</v>
      </c>
      <c r="Q69" t="str">
        <f>J69&amp;" &amp; "&amp;K69&amp;" &amp; "&amp;L69&amp;" &amp; "&amp;M69&amp;" &amp; "&amp;N69&amp;" &amp; "&amp;O69</f>
        <v>-0.0512054257867981 &amp; -0.0312709234598105 &amp; -0.0512054257867981 &amp; 0.0228997625752202 &amp; -0.0114498812876101 &amp; 0.0104879825200291</v>
      </c>
    </row>
    <row r="70" spans="3:17" x14ac:dyDescent="0.25">
      <c r="C70" s="11">
        <v>-0.5</v>
      </c>
      <c r="D70" s="11">
        <v>-0.80022169877105653</v>
      </c>
      <c r="E70" s="11">
        <v>-0.5</v>
      </c>
      <c r="F70" s="11">
        <v>-0.22360679774997896</v>
      </c>
      <c r="G70" s="11">
        <v>0.11180339887498948</v>
      </c>
      <c r="H70" s="11">
        <v>-0.35843798050758646</v>
      </c>
      <c r="J70">
        <f t="shared" ref="J70:J73" si="25">C70*$H70</f>
        <v>0.17921899025379323</v>
      </c>
      <c r="K70">
        <f t="shared" ref="K70:K73" si="26">D70*$H70</f>
        <v>0.28682984966584768</v>
      </c>
      <c r="L70">
        <f t="shared" ref="L70:L73" si="27">E70*$H70</f>
        <v>0.17921899025379323</v>
      </c>
      <c r="M70">
        <f t="shared" ref="M70:M73" si="28">F70*$H70</f>
        <v>8.0149169013270793E-2</v>
      </c>
      <c r="N70">
        <f t="shared" ref="N70:N73" si="29">G70*$H70</f>
        <v>-4.0074584506635397E-2</v>
      </c>
      <c r="O70">
        <f t="shared" ref="O70:O73" si="30">H70*$H70</f>
        <v>0.12847778587035694</v>
      </c>
      <c r="Q70" t="str">
        <f t="shared" ref="Q70:Q73" si="31">J70&amp;" &amp; "&amp;K70&amp;" &amp; "&amp;L70&amp;" &amp; "&amp;M70&amp;" &amp; "&amp;N70&amp;" &amp; "&amp;O70</f>
        <v>0.179218990253793 &amp; 0.286829849665848 &amp; 0.179218990253793 &amp; 0.0801491690132708 &amp; -0.0400745845066354 &amp; 0.128477785870357</v>
      </c>
    </row>
    <row r="71" spans="3:17" x14ac:dyDescent="0.25">
      <c r="C71" s="11">
        <v>0</v>
      </c>
      <c r="D71" s="11">
        <v>-1.0529232878566533E-2</v>
      </c>
      <c r="E71" s="11">
        <v>0</v>
      </c>
      <c r="F71" s="11">
        <v>-0.22360679774997896</v>
      </c>
      <c r="G71" s="11">
        <v>0.11180339887498948</v>
      </c>
      <c r="H71" s="11">
        <v>-0.23042441604059127</v>
      </c>
      <c r="J71">
        <f t="shared" si="25"/>
        <v>0</v>
      </c>
      <c r="K71">
        <f t="shared" si="26"/>
        <v>2.4261923373990872E-3</v>
      </c>
      <c r="L71">
        <f t="shared" si="27"/>
        <v>0</v>
      </c>
      <c r="M71">
        <f t="shared" si="28"/>
        <v>5.1524465794245501E-2</v>
      </c>
      <c r="N71">
        <f t="shared" si="29"/>
        <v>-2.5762232897122751E-2</v>
      </c>
      <c r="O71">
        <f t="shared" si="30"/>
        <v>5.3095411507647496E-2</v>
      </c>
      <c r="Q71" t="str">
        <f t="shared" si="31"/>
        <v>0 &amp; 0.00242619233739909 &amp; 0 &amp; 0.0515244657942455 &amp; -0.0257622328971228 &amp; 0.0530954115076475</v>
      </c>
    </row>
    <row r="72" spans="3:17" x14ac:dyDescent="0.25">
      <c r="C72" s="11">
        <v>0.5</v>
      </c>
      <c r="D72" s="11">
        <v>0.51593241104976018</v>
      </c>
      <c r="E72" s="11">
        <v>-0.5</v>
      </c>
      <c r="F72" s="11">
        <v>-0.22360679774997896</v>
      </c>
      <c r="G72" s="11">
        <v>0.11180339887498948</v>
      </c>
      <c r="H72" s="11">
        <v>-0.18775322788492624</v>
      </c>
      <c r="J72">
        <f t="shared" si="25"/>
        <v>-9.3876613942463119E-2</v>
      </c>
      <c r="K72">
        <f t="shared" si="26"/>
        <v>-9.686797554504506E-2</v>
      </c>
      <c r="L72">
        <f t="shared" si="27"/>
        <v>9.3876613942463119E-2</v>
      </c>
      <c r="M72">
        <f t="shared" si="28"/>
        <v>4.1982898054570415E-2</v>
      </c>
      <c r="N72">
        <f t="shared" si="29"/>
        <v>-2.0991449027285208E-2</v>
      </c>
      <c r="O72">
        <f t="shared" si="30"/>
        <v>3.5251274581209045E-2</v>
      </c>
      <c r="Q72" t="str">
        <f t="shared" si="31"/>
        <v>-0.0938766139424631 &amp; -0.0968679755450451 &amp; 0.0938766139424631 &amp; 0.0419828980545704 &amp; -0.0209914490272852 &amp; 0.035251274581209</v>
      </c>
    </row>
    <row r="73" spans="3:17" x14ac:dyDescent="0.25">
      <c r="C73" s="11">
        <v>-0.5</v>
      </c>
      <c r="D73" s="11">
        <v>-1.0529232878566533E-2</v>
      </c>
      <c r="E73" s="11">
        <v>0.5</v>
      </c>
      <c r="F73" s="11">
        <v>0.89442719099991586</v>
      </c>
      <c r="G73" s="11">
        <v>-0.44721359549995793</v>
      </c>
      <c r="H73" s="11">
        <v>0.87902647600670003</v>
      </c>
      <c r="J73">
        <f t="shared" si="25"/>
        <v>-0.43951323800335002</v>
      </c>
      <c r="K73">
        <f t="shared" si="26"/>
        <v>-9.2554744723002211E-3</v>
      </c>
      <c r="L73">
        <f t="shared" si="27"/>
        <v>0.43951323800335002</v>
      </c>
      <c r="M73">
        <f t="shared" si="28"/>
        <v>0.78622518174922762</v>
      </c>
      <c r="N73">
        <f t="shared" si="29"/>
        <v>-0.39311259087461381</v>
      </c>
      <c r="O73">
        <f t="shared" si="30"/>
        <v>0.77268754552075758</v>
      </c>
      <c r="Q73" t="str">
        <f t="shared" si="31"/>
        <v>-0.43951323800335 &amp; -0.00925547447230022 &amp; 0.43951323800335 &amp; 0.786225181749228 &amp; -0.393112590874614 &amp; 0.772687545520758</v>
      </c>
    </row>
    <row r="75" spans="3:17" x14ac:dyDescent="0.25">
      <c r="J75">
        <f>SUM(J69:J74)</f>
        <v>-0.40537628747881799</v>
      </c>
      <c r="K75">
        <f t="shared" ref="K75:O75" si="32">SUM(K69:K74)</f>
        <v>0.15186166852609104</v>
      </c>
      <c r="L75">
        <f t="shared" si="32"/>
        <v>0.66140341641280831</v>
      </c>
      <c r="M75">
        <f t="shared" si="32"/>
        <v>0.98278147718653452</v>
      </c>
      <c r="N75">
        <f t="shared" si="32"/>
        <v>-0.49139073859326726</v>
      </c>
      <c r="O75">
        <f t="shared" si="32"/>
        <v>1.0000000000000002</v>
      </c>
    </row>
    <row r="77" spans="3:17" x14ac:dyDescent="0.25">
      <c r="I77" s="26">
        <v>2</v>
      </c>
      <c r="J77">
        <f>ROUND(J69,$I$77)</f>
        <v>-0.05</v>
      </c>
      <c r="K77">
        <f t="shared" ref="K77:O77" si="33">ROUND(K69,$I$77)</f>
        <v>-0.03</v>
      </c>
      <c r="L77">
        <f t="shared" si="33"/>
        <v>-0.05</v>
      </c>
      <c r="M77">
        <f t="shared" si="33"/>
        <v>0.02</v>
      </c>
      <c r="N77">
        <f t="shared" si="33"/>
        <v>-0.01</v>
      </c>
      <c r="O77">
        <f t="shared" si="33"/>
        <v>0.01</v>
      </c>
      <c r="Q77" t="str">
        <f t="shared" ref="Q77:Q81" si="34">J77&amp;" &amp; "&amp;K77&amp;" &amp; "&amp;L77&amp;" &amp; "&amp;M77&amp;" &amp; "&amp;N77&amp;" &amp; "&amp;O77</f>
        <v>-0.05 &amp; -0.03 &amp; -0.05 &amp; 0.02 &amp; -0.01 &amp; 0.01</v>
      </c>
    </row>
    <row r="78" spans="3:17" x14ac:dyDescent="0.25">
      <c r="J78">
        <f t="shared" ref="J78:O78" si="35">ROUND(J70,$I$77)</f>
        <v>0.18</v>
      </c>
      <c r="K78">
        <f t="shared" si="35"/>
        <v>0.28999999999999998</v>
      </c>
      <c r="L78">
        <f t="shared" si="35"/>
        <v>0.18</v>
      </c>
      <c r="M78">
        <f t="shared" si="35"/>
        <v>0.08</v>
      </c>
      <c r="N78">
        <f t="shared" si="35"/>
        <v>-0.04</v>
      </c>
      <c r="O78">
        <f t="shared" si="35"/>
        <v>0.13</v>
      </c>
      <c r="Q78" t="str">
        <f t="shared" si="34"/>
        <v>0.18 &amp; 0.29 &amp; 0.18 &amp; 0.08 &amp; -0.04 &amp; 0.13</v>
      </c>
    </row>
    <row r="79" spans="3:17" x14ac:dyDescent="0.25">
      <c r="J79">
        <f t="shared" ref="J79:O79" si="36">ROUND(J71,$I$77)</f>
        <v>0</v>
      </c>
      <c r="K79">
        <f t="shared" si="36"/>
        <v>0</v>
      </c>
      <c r="L79">
        <f t="shared" si="36"/>
        <v>0</v>
      </c>
      <c r="M79">
        <f t="shared" si="36"/>
        <v>0.05</v>
      </c>
      <c r="N79">
        <f t="shared" si="36"/>
        <v>-0.03</v>
      </c>
      <c r="O79">
        <f t="shared" si="36"/>
        <v>0.05</v>
      </c>
      <c r="Q79" t="str">
        <f t="shared" si="34"/>
        <v>0 &amp; 0 &amp; 0 &amp; 0.05 &amp; -0.03 &amp; 0.05</v>
      </c>
    </row>
    <row r="80" spans="3:17" x14ac:dyDescent="0.25">
      <c r="J80">
        <f t="shared" ref="J80:O80" si="37">ROUND(J72,$I$77)</f>
        <v>-0.09</v>
      </c>
      <c r="K80">
        <f t="shared" si="37"/>
        <v>-0.1</v>
      </c>
      <c r="L80">
        <f t="shared" si="37"/>
        <v>0.09</v>
      </c>
      <c r="M80">
        <f t="shared" si="37"/>
        <v>0.04</v>
      </c>
      <c r="N80">
        <f t="shared" si="37"/>
        <v>-0.02</v>
      </c>
      <c r="O80">
        <f t="shared" si="37"/>
        <v>0.04</v>
      </c>
      <c r="Q80" t="str">
        <f t="shared" si="34"/>
        <v>-0.09 &amp; -0.1 &amp; 0.09 &amp; 0.04 &amp; -0.02 &amp; 0.04</v>
      </c>
    </row>
    <row r="81" spans="10:17" x14ac:dyDescent="0.25">
      <c r="J81">
        <f t="shared" ref="J81:O81" si="38">ROUND(J73,$I$77)</f>
        <v>-0.44</v>
      </c>
      <c r="K81">
        <f t="shared" si="38"/>
        <v>-0.01</v>
      </c>
      <c r="L81">
        <f t="shared" si="38"/>
        <v>0.44</v>
      </c>
      <c r="M81">
        <f t="shared" si="38"/>
        <v>0.79</v>
      </c>
      <c r="N81">
        <f t="shared" si="38"/>
        <v>-0.39</v>
      </c>
      <c r="O81">
        <f t="shared" si="38"/>
        <v>0.77</v>
      </c>
      <c r="Q81" t="str">
        <f t="shared" si="34"/>
        <v>-0.44 &amp; -0.01 &amp; 0.44 &amp; 0.79 &amp; -0.39 &amp; 0.77</v>
      </c>
    </row>
    <row r="83" spans="10:17" x14ac:dyDescent="0.25">
      <c r="J83">
        <f>SUM(J77:J82)</f>
        <v>-0.4</v>
      </c>
      <c r="K83">
        <f t="shared" ref="K83" si="39">SUM(K77:K82)</f>
        <v>0.15</v>
      </c>
      <c r="L83">
        <f t="shared" ref="L83" si="40">SUM(L77:L82)</f>
        <v>0.66</v>
      </c>
      <c r="M83">
        <f t="shared" ref="M83" si="41">SUM(M77:M82)</f>
        <v>0.98000000000000009</v>
      </c>
      <c r="N83">
        <f t="shared" ref="N83" si="42">SUM(N77:N82)</f>
        <v>-0.49</v>
      </c>
      <c r="O83">
        <f t="shared" ref="O83" si="43">SUM(O77:O82)</f>
        <v>1</v>
      </c>
      <c r="Q83" t="str">
        <f>J83&amp;" &amp; "&amp;K83&amp;" &amp; "&amp;L83&amp;" &amp; "&amp;M83&amp;" &amp; "&amp;N83&amp;" &amp; "&amp;O83&amp;" \\"</f>
        <v>-0.4 &amp; 0.15 &amp; 0.66 &amp; 0.98 &amp; -0.49 &amp; 1 \\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</vt:lpstr>
      <vt:lpstr>split1</vt:lpstr>
      <vt:lpstr>Sheet1</vt:lpstr>
      <vt:lpstr>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2025-10-10T14:20:04Z</dcterms:modified>
</cp:coreProperties>
</file>