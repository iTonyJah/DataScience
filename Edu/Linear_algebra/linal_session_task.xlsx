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onyJah\DataScience\Edu\Linear_algebra\"/>
    </mc:Choice>
  </mc:AlternateContent>
  <xr:revisionPtr revIDLastSave="0" documentId="13_ncr:1_{A0F698CE-2E4E-420F-9683-0F89304BC822}" xr6:coauthVersionLast="47" xr6:coauthVersionMax="47" xr10:uidLastSave="{00000000-0000-0000-0000-000000000000}"/>
  <bookViews>
    <workbookView xWindow="9510" yWindow="0" windowWidth="9780" windowHeight="11370" activeTab="1" xr2:uid="{6B48EADF-CD2A-4593-B5B4-C8A55DF2A88B}"/>
  </bookViews>
  <sheets>
    <sheet name="calc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2" l="1"/>
  <c r="F72" i="2"/>
  <c r="I69" i="2"/>
  <c r="J69" i="2"/>
  <c r="H69" i="2"/>
  <c r="G68" i="2"/>
  <c r="F61" i="2"/>
  <c r="F57" i="2"/>
  <c r="F55" i="2"/>
  <c r="J53" i="2"/>
  <c r="H42" i="2"/>
  <c r="I53" i="2"/>
  <c r="G45" i="2"/>
  <c r="O45" i="2"/>
  <c r="N45" i="2"/>
  <c r="M45" i="2"/>
  <c r="I45" i="2"/>
  <c r="L41" i="2"/>
  <c r="J41" i="2"/>
  <c r="H41" i="2"/>
  <c r="J38" i="2"/>
  <c r="J37" i="2"/>
  <c r="I37" i="2"/>
  <c r="J39" i="2"/>
  <c r="H39" i="2"/>
  <c r="G39" i="2"/>
  <c r="G37" i="2"/>
  <c r="G36" i="2"/>
  <c r="F51" i="2"/>
  <c r="F50" i="2"/>
  <c r="F48" i="2"/>
  <c r="F42" i="2"/>
  <c r="F45" i="2"/>
  <c r="F41" i="2"/>
  <c r="F39" i="2"/>
  <c r="F38" i="2"/>
  <c r="B28" i="2"/>
  <c r="B29" i="2" s="1"/>
  <c r="B13" i="2"/>
  <c r="C13" i="2" s="1"/>
  <c r="D13" i="2" s="1"/>
  <c r="B15" i="2"/>
  <c r="B14" i="2" s="1"/>
  <c r="C14" i="2" s="1"/>
  <c r="D14" i="2" s="1"/>
  <c r="B16" i="2"/>
  <c r="C16" i="2"/>
  <c r="D16" i="2" s="1"/>
  <c r="C15" i="2"/>
  <c r="D15" i="2" s="1"/>
  <c r="B18" i="2"/>
  <c r="C18" i="2" s="1"/>
  <c r="D18" i="2" s="1"/>
  <c r="C17" i="2"/>
  <c r="D17" i="2" s="1"/>
  <c r="D4" i="2"/>
  <c r="E4" i="2" s="1"/>
  <c r="F4" i="2" s="1"/>
  <c r="G4" i="2" s="1"/>
  <c r="D3" i="2"/>
  <c r="E3" i="2" s="1"/>
  <c r="F3" i="2" s="1"/>
  <c r="G3" i="2" s="1"/>
  <c r="X131" i="1"/>
  <c r="X129" i="1"/>
  <c r="X128" i="1"/>
  <c r="W132" i="1"/>
  <c r="W131" i="1"/>
  <c r="S130" i="1"/>
  <c r="R130" i="1"/>
  <c r="Q129" i="1"/>
  <c r="Q127" i="1"/>
  <c r="Q126" i="1"/>
  <c r="Q125" i="1"/>
  <c r="Q124" i="1"/>
  <c r="Q123" i="1"/>
  <c r="P129" i="1"/>
  <c r="O142" i="1"/>
  <c r="N142" i="1"/>
  <c r="N140" i="1"/>
  <c r="C29" i="2" l="1"/>
  <c r="D29" i="2" s="1"/>
  <c r="B30" i="2"/>
  <c r="C28" i="2"/>
  <c r="D28" i="2" s="1"/>
  <c r="B19" i="2"/>
  <c r="B20" i="2" s="1"/>
  <c r="C20" i="2"/>
  <c r="D20" i="2" s="1"/>
  <c r="B21" i="2"/>
  <c r="C19" i="2"/>
  <c r="D19" i="2" s="1"/>
  <c r="J141" i="1"/>
  <c r="K139" i="1"/>
  <c r="H139" i="1"/>
  <c r="P132" i="1"/>
  <c r="N132" i="1"/>
  <c r="M132" i="1"/>
  <c r="L132" i="1"/>
  <c r="I136" i="1"/>
  <c r="M135" i="1"/>
  <c r="L135" i="1"/>
  <c r="K135" i="1"/>
  <c r="J135" i="1"/>
  <c r="H135" i="1"/>
  <c r="F132" i="1"/>
  <c r="H132" i="1"/>
  <c r="I133" i="1"/>
  <c r="J132" i="1"/>
  <c r="J133" i="1" s="1"/>
  <c r="J130" i="1"/>
  <c r="J129" i="1"/>
  <c r="J127" i="1"/>
  <c r="J126" i="1"/>
  <c r="J125" i="1"/>
  <c r="J124" i="1"/>
  <c r="J123" i="1"/>
  <c r="P127" i="1"/>
  <c r="P126" i="1"/>
  <c r="P125" i="1"/>
  <c r="P124" i="1"/>
  <c r="P123" i="1"/>
  <c r="M127" i="1"/>
  <c r="M126" i="1"/>
  <c r="M125" i="1"/>
  <c r="M124" i="1"/>
  <c r="M123" i="1"/>
  <c r="K126" i="1"/>
  <c r="K124" i="1"/>
  <c r="K123" i="1"/>
  <c r="K107" i="1"/>
  <c r="J107" i="1"/>
  <c r="I127" i="1"/>
  <c r="I126" i="1"/>
  <c r="I125" i="1"/>
  <c r="I124" i="1"/>
  <c r="I123" i="1"/>
  <c r="H127" i="1"/>
  <c r="H126" i="1"/>
  <c r="H125" i="1"/>
  <c r="H124" i="1"/>
  <c r="H123" i="1"/>
  <c r="G127" i="1"/>
  <c r="G126" i="1"/>
  <c r="G125" i="1"/>
  <c r="G124" i="1"/>
  <c r="G123" i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B31" i="2" l="1"/>
  <c r="C30" i="2"/>
  <c r="D30" i="2" s="1"/>
  <c r="C21" i="2"/>
  <c r="D21" i="2" s="1"/>
  <c r="B22" i="2"/>
  <c r="AA118" i="1"/>
  <c r="AB118" i="1" s="1"/>
  <c r="AA117" i="1"/>
  <c r="AB117" i="1" s="1"/>
  <c r="AA115" i="1"/>
  <c r="R113" i="1"/>
  <c r="O113" i="1"/>
  <c r="R105" i="1"/>
  <c r="R109" i="1"/>
  <c r="N109" i="1"/>
  <c r="N108" i="1"/>
  <c r="N107" i="1"/>
  <c r="N106" i="1"/>
  <c r="N105" i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B32" i="2" l="1"/>
  <c r="C31" i="2"/>
  <c r="D31" i="2" s="1"/>
  <c r="B23" i="2"/>
  <c r="C22" i="2"/>
  <c r="D22" i="2" s="1"/>
  <c r="S115" i="1"/>
  <c r="W115" i="1" s="1"/>
  <c r="X115" i="1" s="1"/>
  <c r="T114" i="1"/>
  <c r="AB115" i="1"/>
  <c r="AC115" i="1" s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B33" i="2" l="1"/>
  <c r="C32" i="2"/>
  <c r="D32" i="2" s="1"/>
  <c r="C23" i="2"/>
  <c r="D23" i="2" s="1"/>
  <c r="B24" i="2"/>
  <c r="K104" i="1"/>
  <c r="J104" i="1"/>
  <c r="B109" i="1"/>
  <c r="B113" i="1" s="1"/>
  <c r="B111" i="1"/>
  <c r="B112" i="1"/>
  <c r="E114" i="1"/>
  <c r="E115" i="1"/>
  <c r="K105" i="1"/>
  <c r="J105" i="1"/>
  <c r="J103" i="1"/>
  <c r="K103" i="1"/>
  <c r="J102" i="1"/>
  <c r="K102" i="1"/>
  <c r="I109" i="1"/>
  <c r="I115" i="1" s="1"/>
  <c r="D114" i="1"/>
  <c r="F115" i="1"/>
  <c r="F114" i="1"/>
  <c r="F113" i="1"/>
  <c r="D109" i="1"/>
  <c r="D115" i="1" s="1"/>
  <c r="D111" i="1"/>
  <c r="G109" i="1"/>
  <c r="D112" i="1"/>
  <c r="D113" i="1"/>
  <c r="F109" i="1"/>
  <c r="F111" i="1" s="1"/>
  <c r="E109" i="1"/>
  <c r="E113" i="1" s="1"/>
  <c r="C109" i="1"/>
  <c r="C112" i="1" s="1"/>
  <c r="C33" i="2" l="1"/>
  <c r="D33" i="2" s="1"/>
  <c r="B34" i="2"/>
  <c r="B25" i="2"/>
  <c r="C24" i="2"/>
  <c r="D24" i="2" s="1"/>
  <c r="C114" i="1"/>
  <c r="I111" i="1"/>
  <c r="B115" i="1"/>
  <c r="E112" i="1"/>
  <c r="B114" i="1"/>
  <c r="I113" i="1"/>
  <c r="E111" i="1"/>
  <c r="C111" i="1"/>
  <c r="F112" i="1"/>
  <c r="I112" i="1"/>
  <c r="C115" i="1"/>
  <c r="C113" i="1"/>
  <c r="I114" i="1"/>
  <c r="B35" i="2" l="1"/>
  <c r="C34" i="2"/>
  <c r="D34" i="2" s="1"/>
  <c r="B26" i="2"/>
  <c r="C25" i="2"/>
  <c r="D25" i="2" s="1"/>
  <c r="B36" i="2" l="1"/>
  <c r="C35" i="2"/>
  <c r="D35" i="2" s="1"/>
  <c r="B27" i="2"/>
  <c r="C27" i="2" s="1"/>
  <c r="D27" i="2" s="1"/>
  <c r="C26" i="2"/>
  <c r="D26" i="2" s="1"/>
  <c r="B37" i="2" l="1"/>
  <c r="C36" i="2"/>
  <c r="D36" i="2" s="1"/>
  <c r="C37" i="2" l="1"/>
  <c r="D37" i="2" s="1"/>
  <c r="B38" i="2"/>
  <c r="B39" i="2" l="1"/>
  <c r="C38" i="2"/>
  <c r="D38" i="2" s="1"/>
  <c r="C39" i="2" l="1"/>
  <c r="D39" i="2" s="1"/>
  <c r="B40" i="2"/>
  <c r="C40" i="2" l="1"/>
  <c r="D40" i="2" s="1"/>
  <c r="B41" i="2"/>
  <c r="C41" i="2" l="1"/>
  <c r="D41" i="2" s="1"/>
  <c r="B42" i="2"/>
  <c r="C42" i="2" l="1"/>
  <c r="D42" i="2" s="1"/>
  <c r="B43" i="2"/>
  <c r="B44" i="2" l="1"/>
  <c r="C43" i="2"/>
  <c r="D43" i="2" s="1"/>
  <c r="C44" i="2" l="1"/>
  <c r="D44" i="2" s="1"/>
  <c r="B45" i="2"/>
  <c r="C45" i="2" l="1"/>
  <c r="D45" i="2" s="1"/>
  <c r="B46" i="2"/>
  <c r="B47" i="2" l="1"/>
  <c r="C46" i="2"/>
  <c r="D46" i="2" s="1"/>
  <c r="B48" i="2" l="1"/>
  <c r="C47" i="2"/>
  <c r="D47" i="2" s="1"/>
  <c r="B49" i="2" l="1"/>
  <c r="C48" i="2"/>
  <c r="D48" i="2" s="1"/>
  <c r="B50" i="2" l="1"/>
  <c r="C49" i="2"/>
  <c r="D49" i="2" s="1"/>
  <c r="B51" i="2" l="1"/>
  <c r="C50" i="2"/>
  <c r="D50" i="2" s="1"/>
  <c r="B52" i="2" l="1"/>
  <c r="C51" i="2"/>
  <c r="D51" i="2" s="1"/>
  <c r="C52" i="2" l="1"/>
  <c r="D52" i="2" s="1"/>
  <c r="B53" i="2"/>
  <c r="C53" i="2" l="1"/>
  <c r="D53" i="2" s="1"/>
  <c r="B54" i="2"/>
  <c r="B55" i="2" l="1"/>
  <c r="C54" i="2"/>
  <c r="D54" i="2" s="1"/>
  <c r="B56" i="2" l="1"/>
  <c r="C55" i="2"/>
  <c r="D55" i="2" s="1"/>
  <c r="B57" i="2" l="1"/>
  <c r="C56" i="2"/>
  <c r="D56" i="2" s="1"/>
  <c r="C57" i="2" l="1"/>
  <c r="D57" i="2" s="1"/>
  <c r="B58" i="2"/>
  <c r="C58" i="2" s="1"/>
  <c r="D58" i="2" s="1"/>
</calcChain>
</file>

<file path=xl/sharedStrings.xml><?xml version="1.0" encoding="utf-8"?>
<sst xmlns="http://schemas.openxmlformats.org/spreadsheetml/2006/main" count="114" uniqueCount="92">
  <si>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</si>
  <si>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</si>
  <si>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</si>
  <si>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</si>
  <si>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</si>
  <si>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</si>
  <si>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</si>
  <si>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</si>
  <si>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</si>
  <si>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</si>
  <si>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</si>
  <si>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</si>
  <si>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</si>
  <si>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</si>
  <si>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</si>
  <si>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</si>
  <si>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</si>
  <si>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</si>
  <si>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</si>
  <si>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</si>
  <si>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</si>
  <si>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</si>
  <si>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</si>
  <si>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</si>
  <si>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</si>
  <si>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</si>
  <si>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</si>
  <si>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</si>
  <si>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</si>
  <si>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</si>
  <si>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</si>
  <si>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</si>
  <si>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</si>
  <si>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</si>
  <si>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</si>
  <si>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</si>
  <si>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</si>
  <si>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</si>
  <si>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</si>
  <si>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</si>
  <si>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</si>
  <si>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</si>
  <si>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</si>
  <si>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</si>
  <si>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</si>
  <si>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</si>
  <si>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</si>
  <si>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</si>
  <si>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</si>
  <si>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</si>
  <si>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</si>
  <si>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</si>
  <si>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</si>
  <si>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</si>
  <si>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</si>
  <si>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</si>
  <si>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</si>
  <si>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</si>
  <si>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</si>
  <si>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</si>
  <si>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</si>
  <si>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</si>
  <si>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</si>
  <si>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</si>
  <si>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</si>
  <si>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</si>
  <si>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</si>
  <si>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</si>
  <si>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</si>
  <si>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</si>
  <si>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</si>
  <si>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</si>
  <si>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</si>
  <si>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</si>
  <si>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</si>
  <si>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</si>
  <si>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</si>
  <si>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</si>
  <si>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</si>
  <si>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</si>
  <si>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</si>
  <si>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</si>
  <si>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</si>
  <si>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</si>
  <si>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</si>
  <si>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</si>
  <si>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</si>
  <si>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</si>
  <si>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</si>
  <si>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</si>
  <si>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</si>
  <si>
    <t>меньше половины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</si>
</sst>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A1:AD142"/>
  <sheetViews>
    <sheetView topLeftCell="A138" workbookViewId="0">
      <selection activeCell="A160" sqref="A160"/>
    </sheetView>
  </sheetViews>
  <sheetFormatPr defaultRowHeight="14.5" x14ac:dyDescent="0.35"/>
  <cols>
    <col min="25" max="25" width="12.7265625" customWidth="1"/>
  </cols>
  <sheetData>
    <row r="1" spans="1:7" ht="15" thickBot="1" x14ac:dyDescent="0.4">
      <c r="A1" s="5" t="s">
        <v>0</v>
      </c>
    </row>
    <row r="2" spans="1:7" ht="15" thickBo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thickBot="1" x14ac:dyDescent="0.4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" thickBot="1" x14ac:dyDescent="0.4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" thickBot="1" x14ac:dyDescent="0.4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" thickBot="1" x14ac:dyDescent="0.4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" thickBot="1" x14ac:dyDescent="0.4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" x14ac:dyDescent="0.5">
      <c r="A9" s="4" t="s">
        <v>10</v>
      </c>
    </row>
    <row r="11" spans="1:7" x14ac:dyDescent="0.35">
      <c r="A11" t="s">
        <v>11</v>
      </c>
    </row>
    <row r="12" spans="1:7" x14ac:dyDescent="0.35">
      <c r="A12" t="s">
        <v>12</v>
      </c>
    </row>
    <row r="14" spans="1:7" x14ac:dyDescent="0.35">
      <c r="C14" t="s">
        <v>13</v>
      </c>
    </row>
    <row r="15" spans="1:7" x14ac:dyDescent="0.35">
      <c r="C15" t="s">
        <v>14</v>
      </c>
    </row>
    <row r="17" spans="1:7" ht="15" thickBot="1" x14ac:dyDescent="0.4">
      <c r="A17" t="s">
        <v>8</v>
      </c>
      <c r="E17" t="s">
        <v>9</v>
      </c>
    </row>
    <row r="18" spans="1:7" ht="15" thickBot="1" x14ac:dyDescent="0.4">
      <c r="A18" s="2">
        <v>3</v>
      </c>
      <c r="B18" s="2">
        <v>51</v>
      </c>
      <c r="C18" s="2">
        <v>3</v>
      </c>
      <c r="E18" s="2">
        <v>2200</v>
      </c>
    </row>
    <row r="19" spans="1:7" ht="15" thickBot="1" x14ac:dyDescent="0.4">
      <c r="A19" s="3">
        <v>1</v>
      </c>
      <c r="B19" s="3">
        <v>30</v>
      </c>
      <c r="C19" s="3">
        <v>1</v>
      </c>
      <c r="E19" s="3">
        <v>1600</v>
      </c>
    </row>
    <row r="20" spans="1:7" ht="15" thickBot="1" x14ac:dyDescent="0.4">
      <c r="A20" s="3">
        <v>2</v>
      </c>
      <c r="B20" s="3">
        <v>45</v>
      </c>
      <c r="C20" s="3">
        <v>2</v>
      </c>
      <c r="E20" s="3">
        <v>1900</v>
      </c>
    </row>
    <row r="22" spans="1:7" x14ac:dyDescent="0.35">
      <c r="A22" s="6" t="s">
        <v>15</v>
      </c>
    </row>
    <row r="24" spans="1:7" x14ac:dyDescent="0.35">
      <c r="A24" t="s">
        <v>16</v>
      </c>
    </row>
    <row r="25" spans="1:7" x14ac:dyDescent="0.35">
      <c r="A25" t="s">
        <v>23</v>
      </c>
    </row>
    <row r="26" spans="1:7" x14ac:dyDescent="0.35">
      <c r="A26" t="s">
        <v>19</v>
      </c>
      <c r="G26" t="s">
        <v>20</v>
      </c>
    </row>
    <row r="27" spans="1:7" x14ac:dyDescent="0.35">
      <c r="A27" t="s">
        <v>18</v>
      </c>
    </row>
    <row r="28" spans="1:7" x14ac:dyDescent="0.35">
      <c r="A28" t="s">
        <v>21</v>
      </c>
      <c r="G28" t="s">
        <v>20</v>
      </c>
    </row>
    <row r="29" spans="1:7" x14ac:dyDescent="0.35">
      <c r="A29" t="s">
        <v>22</v>
      </c>
    </row>
    <row r="30" spans="1:7" x14ac:dyDescent="0.35">
      <c r="A30" t="s">
        <v>24</v>
      </c>
    </row>
    <row r="31" spans="1:7" x14ac:dyDescent="0.35">
      <c r="A31" t="s">
        <v>25</v>
      </c>
    </row>
    <row r="33" spans="1:12" ht="16" x14ac:dyDescent="0.4">
      <c r="A33" s="14" t="s">
        <v>26</v>
      </c>
    </row>
    <row r="34" spans="1:12" x14ac:dyDescent="0.35">
      <c r="A34" s="6" t="s">
        <v>17</v>
      </c>
    </row>
    <row r="35" spans="1:12" x14ac:dyDescent="0.35">
      <c r="A35" t="s">
        <v>27</v>
      </c>
    </row>
    <row r="36" spans="1:12" x14ac:dyDescent="0.35">
      <c r="A36" t="s">
        <v>29</v>
      </c>
    </row>
    <row r="37" spans="1:12" x14ac:dyDescent="0.35">
      <c r="A37" s="10" t="s">
        <v>28</v>
      </c>
      <c r="G37" s="6" t="s">
        <v>8</v>
      </c>
      <c r="J37" s="10" t="s">
        <v>9</v>
      </c>
    </row>
    <row r="38" spans="1:12" x14ac:dyDescent="0.3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3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3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35">
      <c r="B41" s="11" t="s">
        <v>50</v>
      </c>
    </row>
    <row r="42" spans="1:12" x14ac:dyDescent="0.35">
      <c r="A42" t="s">
        <v>33</v>
      </c>
    </row>
    <row r="43" spans="1:12" x14ac:dyDescent="0.35">
      <c r="A43" s="10"/>
      <c r="J43" s="10" t="s">
        <v>28</v>
      </c>
    </row>
    <row r="44" spans="1:12" x14ac:dyDescent="0.3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3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3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35">
      <c r="B47" s="11" t="s">
        <v>36</v>
      </c>
    </row>
    <row r="48" spans="1:12" x14ac:dyDescent="0.35">
      <c r="A48" s="6" t="s">
        <v>37</v>
      </c>
    </row>
    <row r="49" spans="1:12" x14ac:dyDescent="0.35">
      <c r="A49" t="s">
        <v>44</v>
      </c>
    </row>
    <row r="50" spans="1:12" x14ac:dyDescent="0.35">
      <c r="B50" s="6" t="s">
        <v>43</v>
      </c>
      <c r="K50" s="6" t="s">
        <v>8</v>
      </c>
    </row>
    <row r="51" spans="1:12" x14ac:dyDescent="0.3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3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3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35">
      <c r="A54" t="s">
        <v>45</v>
      </c>
    </row>
    <row r="55" spans="1:12" x14ac:dyDescent="0.35">
      <c r="A55" t="s">
        <v>38</v>
      </c>
      <c r="E55" t="s">
        <v>39</v>
      </c>
      <c r="I55" t="s">
        <v>42</v>
      </c>
    </row>
    <row r="56" spans="1:12" x14ac:dyDescent="0.3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3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3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35">
      <c r="B59" s="11" t="s">
        <v>49</v>
      </c>
    </row>
    <row r="60" spans="1:12" x14ac:dyDescent="0.35">
      <c r="A60" t="s">
        <v>51</v>
      </c>
      <c r="B60" s="8"/>
      <c r="F60" s="8"/>
    </row>
    <row r="61" spans="1:12" x14ac:dyDescent="0.35">
      <c r="G61" s="6" t="s">
        <v>43</v>
      </c>
      <c r="J61" s="10" t="s">
        <v>9</v>
      </c>
    </row>
    <row r="62" spans="1:12" x14ac:dyDescent="0.3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3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3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35">
      <c r="B65" s="11" t="s">
        <v>54</v>
      </c>
    </row>
    <row r="67" spans="1:3" x14ac:dyDescent="0.35">
      <c r="A67" s="6" t="s">
        <v>57</v>
      </c>
      <c r="B67" s="8"/>
    </row>
    <row r="68" spans="1:3" x14ac:dyDescent="0.35">
      <c r="C68" s="8" t="s">
        <v>55</v>
      </c>
    </row>
    <row r="69" spans="1:3" x14ac:dyDescent="0.35">
      <c r="A69" s="12">
        <v>494200</v>
      </c>
      <c r="C69" s="8" t="s">
        <v>56</v>
      </c>
    </row>
    <row r="70" spans="1:3" x14ac:dyDescent="0.35">
      <c r="A70" s="12">
        <v>9960900</v>
      </c>
      <c r="C70" t="s">
        <v>58</v>
      </c>
    </row>
    <row r="71" spans="1:3" x14ac:dyDescent="0.35">
      <c r="A71" s="12">
        <v>494200</v>
      </c>
      <c r="C71" t="s">
        <v>59</v>
      </c>
    </row>
    <row r="74" spans="1:3" ht="23" x14ac:dyDescent="0.35">
      <c r="A74" s="15" t="s">
        <v>60</v>
      </c>
    </row>
    <row r="75" spans="1:3" x14ac:dyDescent="0.35">
      <c r="A75" t="s">
        <v>71</v>
      </c>
    </row>
    <row r="76" spans="1:3" x14ac:dyDescent="0.35">
      <c r="A76" t="s">
        <v>72</v>
      </c>
    </row>
    <row r="77" spans="1:3" x14ac:dyDescent="0.35">
      <c r="A77" t="s">
        <v>73</v>
      </c>
    </row>
    <row r="78" spans="1:3" x14ac:dyDescent="0.35">
      <c r="A78" s="6" t="s">
        <v>15</v>
      </c>
    </row>
    <row r="79" spans="1:3" x14ac:dyDescent="0.35">
      <c r="A79" t="s">
        <v>67</v>
      </c>
    </row>
    <row r="80" spans="1:3" x14ac:dyDescent="0.35">
      <c r="A80" t="s">
        <v>61</v>
      </c>
    </row>
    <row r="81" spans="1:9" x14ac:dyDescent="0.35">
      <c r="A81" t="s">
        <v>62</v>
      </c>
    </row>
    <row r="82" spans="1:9" x14ac:dyDescent="0.35">
      <c r="A82" t="s">
        <v>63</v>
      </c>
    </row>
    <row r="83" spans="1:9" x14ac:dyDescent="0.35">
      <c r="A83" t="s">
        <v>64</v>
      </c>
    </row>
    <row r="84" spans="1:9" x14ac:dyDescent="0.35">
      <c r="A84" t="s">
        <v>65</v>
      </c>
    </row>
    <row r="85" spans="1:9" x14ac:dyDescent="0.35">
      <c r="A85" t="s">
        <v>66</v>
      </c>
    </row>
    <row r="87" spans="1:9" x14ac:dyDescent="0.35">
      <c r="A87" s="6" t="s">
        <v>26</v>
      </c>
    </row>
    <row r="88" spans="1:9" x14ac:dyDescent="0.35">
      <c r="A88" s="13" t="s">
        <v>68</v>
      </c>
    </row>
    <row r="89" spans="1:9" x14ac:dyDescent="0.3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3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3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3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3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3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3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35">
      <c r="A97" s="13" t="s">
        <v>74</v>
      </c>
    </row>
    <row r="98" spans="1:30" x14ac:dyDescent="0.35">
      <c r="A98" t="s">
        <v>75</v>
      </c>
    </row>
    <row r="99" spans="1:30" x14ac:dyDescent="0.3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3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3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3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3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3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3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3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3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3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3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3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3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3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3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3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3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35">
      <c r="Z117" t="s">
        <v>84</v>
      </c>
      <c r="AA117">
        <f>90-14</f>
        <v>76</v>
      </c>
      <c r="AB117">
        <f>SQRT(AA117)</f>
        <v>8.717797887081348</v>
      </c>
    </row>
    <row r="118" spans="2:29" x14ac:dyDescent="0.3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35">
      <c r="H120">
        <v>2</v>
      </c>
    </row>
    <row r="121" spans="2:29" x14ac:dyDescent="0.35">
      <c r="H121">
        <v>5</v>
      </c>
      <c r="R121">
        <f>Q118/5</f>
        <v>45</v>
      </c>
    </row>
    <row r="122" spans="2:29" x14ac:dyDescent="0.35">
      <c r="H122">
        <v>10</v>
      </c>
      <c r="I122">
        <v>2</v>
      </c>
      <c r="K122">
        <v>2</v>
      </c>
    </row>
    <row r="123" spans="2:29" x14ac:dyDescent="0.3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86</v>
      </c>
      <c r="P123">
        <f>G123/10/2</f>
        <v>12</v>
      </c>
      <c r="Q123">
        <f>P123^2</f>
        <v>144</v>
      </c>
    </row>
    <row r="124" spans="2:29" x14ac:dyDescent="0.3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87</v>
      </c>
      <c r="P124">
        <f>G124/10/2</f>
        <v>42</v>
      </c>
      <c r="Q124">
        <f t="shared" ref="Q124:Q127" si="28">P124^2</f>
        <v>1764</v>
      </c>
    </row>
    <row r="125" spans="2:29" x14ac:dyDescent="0.3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88</v>
      </c>
      <c r="P125">
        <f>G125/10/2</f>
        <v>27</v>
      </c>
      <c r="Q125">
        <f t="shared" si="28"/>
        <v>729</v>
      </c>
    </row>
    <row r="126" spans="2:29" x14ac:dyDescent="0.3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89</v>
      </c>
      <c r="P126">
        <f>G126/10/2</f>
        <v>22</v>
      </c>
      <c r="Q126">
        <f t="shared" si="28"/>
        <v>484</v>
      </c>
    </row>
    <row r="127" spans="2:29" x14ac:dyDescent="0.3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90</v>
      </c>
      <c r="P127">
        <f>G127/10/2</f>
        <v>103</v>
      </c>
      <c r="Q127">
        <f t="shared" si="28"/>
        <v>10609</v>
      </c>
    </row>
    <row r="128" spans="2:29" x14ac:dyDescent="0.35">
      <c r="W128">
        <v>2</v>
      </c>
      <c r="X128">
        <f>SQRT(W128)</f>
        <v>1.4142135623730951</v>
      </c>
    </row>
    <row r="129" spans="5:24" x14ac:dyDescent="0.35">
      <c r="J129">
        <f>SUM(J123:J128)</f>
        <v>13730</v>
      </c>
      <c r="P129">
        <f>SUM(P123:P128)</f>
        <v>206</v>
      </c>
      <c r="Q129">
        <f>SUM(Q123:Q128)</f>
        <v>13730</v>
      </c>
      <c r="W129">
        <v>3</v>
      </c>
      <c r="X129">
        <f>SQRT(W129)</f>
        <v>1.7320508075688772</v>
      </c>
    </row>
    <row r="130" spans="5:24" x14ac:dyDescent="0.35">
      <c r="J130">
        <f>SQRT(J129)</f>
        <v>117.17508267545622</v>
      </c>
      <c r="R130">
        <f>2*5*1373</f>
        <v>13730</v>
      </c>
      <c r="S130">
        <f>SQRT(R130)</f>
        <v>117.17508267545622</v>
      </c>
    </row>
    <row r="131" spans="5:24" x14ac:dyDescent="0.35">
      <c r="W131">
        <f>W128/W129</f>
        <v>0.66666666666666663</v>
      </c>
      <c r="X131">
        <f>X128/X129</f>
        <v>0.81649658092772615</v>
      </c>
    </row>
    <row r="132" spans="5:24" x14ac:dyDescent="0.3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  <c r="W132">
        <f>SQRT(W131)</f>
        <v>0.81649658092772603</v>
      </c>
    </row>
    <row r="133" spans="5:24" x14ac:dyDescent="0.35">
      <c r="I133">
        <f>I132*20</f>
        <v>2340</v>
      </c>
      <c r="J133">
        <f>J132-J129</f>
        <v>-41</v>
      </c>
    </row>
    <row r="135" spans="5:24" x14ac:dyDescent="0.3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5:24" x14ac:dyDescent="0.35">
      <c r="I136">
        <f>I135*20</f>
        <v>2360</v>
      </c>
    </row>
    <row r="139" spans="5:24" x14ac:dyDescent="0.35">
      <c r="E139">
        <v>19</v>
      </c>
      <c r="F139">
        <v>1804</v>
      </c>
      <c r="H139">
        <f>SQRT(F139/F140)*E139</f>
        <v>18.994736112934024</v>
      </c>
      <c r="J139">
        <v>9020</v>
      </c>
      <c r="K139">
        <f>SQRT(J139)</f>
        <v>94.973680564670133</v>
      </c>
    </row>
    <row r="140" spans="5:24" x14ac:dyDescent="0.35">
      <c r="F140">
        <v>1805</v>
      </c>
      <c r="J140">
        <v>25</v>
      </c>
      <c r="N140">
        <f>2 * 5 * 7 * 7 * 7 * 7</f>
        <v>24010</v>
      </c>
    </row>
    <row r="141" spans="5:24" x14ac:dyDescent="0.35">
      <c r="J141">
        <f>J139/J140</f>
        <v>360.8</v>
      </c>
    </row>
    <row r="142" spans="5:24" x14ac:dyDescent="0.35">
      <c r="M142">
        <v>7</v>
      </c>
      <c r="N142">
        <f>M142^2</f>
        <v>49</v>
      </c>
      <c r="O142">
        <f>N142^2</f>
        <v>2401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1E91-ED7C-475C-A636-9777A928839D}">
  <dimension ref="A3:O72"/>
  <sheetViews>
    <sheetView tabSelected="1" topLeftCell="C51" workbookViewId="0">
      <selection activeCell="H72" sqref="H72"/>
    </sheetView>
  </sheetViews>
  <sheetFormatPr defaultRowHeight="14.5" x14ac:dyDescent="0.35"/>
  <sheetData>
    <row r="3" spans="1:7" x14ac:dyDescent="0.35">
      <c r="A3" s="11">
        <v>2</v>
      </c>
      <c r="B3" s="11">
        <v>4</v>
      </c>
      <c r="C3" s="11">
        <v>5</v>
      </c>
      <c r="D3">
        <f>B3/C3</f>
        <v>0.8</v>
      </c>
      <c r="E3">
        <f>SQRT(D3)</f>
        <v>0.89442719099991586</v>
      </c>
      <c r="F3">
        <f>E3*A3</f>
        <v>1.7888543819998317</v>
      </c>
      <c r="G3">
        <f>F3*D3</f>
        <v>1.4310835055998654</v>
      </c>
    </row>
    <row r="4" spans="1:7" x14ac:dyDescent="0.35">
      <c r="A4" s="11">
        <v>2</v>
      </c>
      <c r="B4" s="11">
        <v>4</v>
      </c>
      <c r="C4" s="11">
        <v>5</v>
      </c>
      <c r="D4">
        <f t="shared" ref="D4" si="0">B4/C4</f>
        <v>0.8</v>
      </c>
      <c r="E4">
        <f t="shared" ref="E4" si="1">SQRT(D4)</f>
        <v>0.89442719099991586</v>
      </c>
      <c r="F4">
        <f t="shared" ref="F4" si="2">E4*A4</f>
        <v>1.7888543819998317</v>
      </c>
      <c r="G4">
        <f t="shared" ref="G4" si="3">F4*D4</f>
        <v>1.4310835055998654</v>
      </c>
    </row>
    <row r="13" spans="1:7" x14ac:dyDescent="0.35">
      <c r="B13">
        <f t="shared" ref="B13:B14" si="4">B14-1</f>
        <v>1</v>
      </c>
      <c r="C13">
        <f t="shared" ref="C13:C16" si="5">SQRT(B13)</f>
        <v>1</v>
      </c>
      <c r="D13">
        <f t="shared" ref="D13" si="6">C13/B13</f>
        <v>1</v>
      </c>
    </row>
    <row r="14" spans="1:7" x14ac:dyDescent="0.35">
      <c r="B14">
        <f t="shared" ref="B14:B16" si="7">B15-1</f>
        <v>2</v>
      </c>
      <c r="C14">
        <f t="shared" si="5"/>
        <v>1.4142135623730951</v>
      </c>
      <c r="D14">
        <f t="shared" ref="D14:D16" si="8">C14/B14</f>
        <v>0.70710678118654757</v>
      </c>
    </row>
    <row r="15" spans="1:7" x14ac:dyDescent="0.35">
      <c r="B15">
        <f t="shared" si="7"/>
        <v>3</v>
      </c>
      <c r="C15">
        <f t="shared" si="5"/>
        <v>1.7320508075688772</v>
      </c>
      <c r="D15">
        <f t="shared" si="8"/>
        <v>0.57735026918962573</v>
      </c>
    </row>
    <row r="16" spans="1:7" x14ac:dyDescent="0.35">
      <c r="B16">
        <f>B17-1</f>
        <v>4</v>
      </c>
      <c r="C16">
        <f t="shared" si="5"/>
        <v>2</v>
      </c>
      <c r="D16">
        <f t="shared" si="8"/>
        <v>0.5</v>
      </c>
    </row>
    <row r="17" spans="2:4" x14ac:dyDescent="0.35">
      <c r="B17">
        <v>5</v>
      </c>
      <c r="C17">
        <f>SQRT(B17)</f>
        <v>2.2360679774997898</v>
      </c>
      <c r="D17">
        <f>C17/B17</f>
        <v>0.44721359549995798</v>
      </c>
    </row>
    <row r="18" spans="2:4" x14ac:dyDescent="0.35">
      <c r="B18">
        <f>B17+1</f>
        <v>6</v>
      </c>
      <c r="C18">
        <f t="shared" ref="C18:C58" si="9">SQRT(B18)</f>
        <v>2.4494897427831779</v>
      </c>
      <c r="D18">
        <f t="shared" ref="D18:D27" si="10">C18/B18</f>
        <v>0.40824829046386296</v>
      </c>
    </row>
    <row r="19" spans="2:4" x14ac:dyDescent="0.35">
      <c r="B19">
        <f t="shared" ref="B19:B27" si="11">B18+1</f>
        <v>7</v>
      </c>
      <c r="C19">
        <f t="shared" si="9"/>
        <v>2.6457513110645907</v>
      </c>
      <c r="D19">
        <f t="shared" si="10"/>
        <v>0.37796447300922725</v>
      </c>
    </row>
    <row r="20" spans="2:4" x14ac:dyDescent="0.35">
      <c r="B20">
        <f t="shared" si="11"/>
        <v>8</v>
      </c>
      <c r="C20">
        <f t="shared" si="9"/>
        <v>2.8284271247461903</v>
      </c>
      <c r="D20">
        <f t="shared" si="10"/>
        <v>0.35355339059327379</v>
      </c>
    </row>
    <row r="21" spans="2:4" x14ac:dyDescent="0.35">
      <c r="B21">
        <f t="shared" si="11"/>
        <v>9</v>
      </c>
      <c r="C21">
        <f t="shared" si="9"/>
        <v>3</v>
      </c>
      <c r="D21">
        <f t="shared" si="10"/>
        <v>0.33333333333333331</v>
      </c>
    </row>
    <row r="22" spans="2:4" x14ac:dyDescent="0.35">
      <c r="B22">
        <f t="shared" si="11"/>
        <v>10</v>
      </c>
      <c r="C22">
        <f t="shared" si="9"/>
        <v>3.1622776601683795</v>
      </c>
      <c r="D22">
        <f t="shared" si="10"/>
        <v>0.31622776601683794</v>
      </c>
    </row>
    <row r="23" spans="2:4" x14ac:dyDescent="0.35">
      <c r="B23">
        <f t="shared" si="11"/>
        <v>11</v>
      </c>
      <c r="C23">
        <f t="shared" si="9"/>
        <v>3.3166247903553998</v>
      </c>
      <c r="D23">
        <f t="shared" si="10"/>
        <v>0.30151134457776363</v>
      </c>
    </row>
    <row r="24" spans="2:4" x14ac:dyDescent="0.35">
      <c r="B24">
        <f t="shared" si="11"/>
        <v>12</v>
      </c>
      <c r="C24">
        <f t="shared" si="9"/>
        <v>3.4641016151377544</v>
      </c>
      <c r="D24">
        <f t="shared" si="10"/>
        <v>0.28867513459481287</v>
      </c>
    </row>
    <row r="25" spans="2:4" x14ac:dyDescent="0.35">
      <c r="B25">
        <f t="shared" si="11"/>
        <v>13</v>
      </c>
      <c r="C25">
        <f t="shared" si="9"/>
        <v>3.6055512754639891</v>
      </c>
      <c r="D25">
        <f t="shared" si="10"/>
        <v>0.27735009811261457</v>
      </c>
    </row>
    <row r="26" spans="2:4" x14ac:dyDescent="0.35">
      <c r="B26">
        <f t="shared" si="11"/>
        <v>14</v>
      </c>
      <c r="C26">
        <f t="shared" si="9"/>
        <v>3.7416573867739413</v>
      </c>
      <c r="D26">
        <f t="shared" si="10"/>
        <v>0.2672612419124244</v>
      </c>
    </row>
    <row r="27" spans="2:4" x14ac:dyDescent="0.35">
      <c r="B27">
        <f t="shared" si="11"/>
        <v>15</v>
      </c>
      <c r="C27">
        <f t="shared" si="9"/>
        <v>3.872983346207417</v>
      </c>
      <c r="D27">
        <f t="shared" si="10"/>
        <v>0.25819888974716115</v>
      </c>
    </row>
    <row r="28" spans="2:4" x14ac:dyDescent="0.35">
      <c r="B28">
        <f t="shared" ref="B28:B58" si="12">B27+1</f>
        <v>16</v>
      </c>
      <c r="C28">
        <f t="shared" si="9"/>
        <v>4</v>
      </c>
      <c r="D28">
        <f t="shared" ref="D28:D58" si="13">C28/B28</f>
        <v>0.25</v>
      </c>
    </row>
    <row r="29" spans="2:4" x14ac:dyDescent="0.35">
      <c r="B29">
        <f t="shared" si="12"/>
        <v>17</v>
      </c>
      <c r="C29">
        <f t="shared" si="9"/>
        <v>4.1231056256176606</v>
      </c>
      <c r="D29">
        <f t="shared" si="13"/>
        <v>0.24253562503633297</v>
      </c>
    </row>
    <row r="30" spans="2:4" x14ac:dyDescent="0.35">
      <c r="B30">
        <f t="shared" si="12"/>
        <v>18</v>
      </c>
      <c r="C30">
        <f t="shared" si="9"/>
        <v>4.2426406871192848</v>
      </c>
      <c r="D30">
        <f t="shared" si="13"/>
        <v>0.23570226039551581</v>
      </c>
    </row>
    <row r="31" spans="2:4" x14ac:dyDescent="0.35">
      <c r="B31">
        <f t="shared" si="12"/>
        <v>19</v>
      </c>
      <c r="C31">
        <f t="shared" si="9"/>
        <v>4.358898943540674</v>
      </c>
      <c r="D31">
        <f t="shared" si="13"/>
        <v>0.2294157338705618</v>
      </c>
    </row>
    <row r="32" spans="2:4" x14ac:dyDescent="0.35">
      <c r="B32">
        <f t="shared" si="12"/>
        <v>20</v>
      </c>
      <c r="C32">
        <f t="shared" si="9"/>
        <v>4.4721359549995796</v>
      </c>
      <c r="D32">
        <f t="shared" si="13"/>
        <v>0.22360679774997899</v>
      </c>
    </row>
    <row r="33" spans="2:15" x14ac:dyDescent="0.35">
      <c r="B33">
        <f t="shared" si="12"/>
        <v>21</v>
      </c>
      <c r="C33">
        <f t="shared" si="9"/>
        <v>4.5825756949558398</v>
      </c>
      <c r="D33">
        <f t="shared" si="13"/>
        <v>0.21821789023599236</v>
      </c>
    </row>
    <row r="34" spans="2:15" x14ac:dyDescent="0.35">
      <c r="B34">
        <f t="shared" si="12"/>
        <v>22</v>
      </c>
      <c r="C34">
        <f t="shared" si="9"/>
        <v>4.6904157598234297</v>
      </c>
      <c r="D34">
        <f t="shared" si="13"/>
        <v>0.21320071635561044</v>
      </c>
    </row>
    <row r="35" spans="2:15" x14ac:dyDescent="0.35">
      <c r="B35">
        <f t="shared" si="12"/>
        <v>23</v>
      </c>
      <c r="C35">
        <f t="shared" si="9"/>
        <v>4.7958315233127191</v>
      </c>
      <c r="D35">
        <f t="shared" si="13"/>
        <v>0.20851441405707474</v>
      </c>
    </row>
    <row r="36" spans="2:15" x14ac:dyDescent="0.35">
      <c r="B36">
        <f t="shared" si="12"/>
        <v>24</v>
      </c>
      <c r="C36">
        <f t="shared" si="9"/>
        <v>4.8989794855663558</v>
      </c>
      <c r="D36">
        <f t="shared" si="13"/>
        <v>0.20412414523193148</v>
      </c>
      <c r="F36">
        <v>4</v>
      </c>
      <c r="G36">
        <f>SQRT(F36)</f>
        <v>2</v>
      </c>
    </row>
    <row r="37" spans="2:15" x14ac:dyDescent="0.35">
      <c r="B37">
        <f t="shared" si="12"/>
        <v>25</v>
      </c>
      <c r="C37">
        <f t="shared" si="9"/>
        <v>5</v>
      </c>
      <c r="D37">
        <f t="shared" si="13"/>
        <v>0.2</v>
      </c>
      <c r="F37">
        <v>5</v>
      </c>
      <c r="G37">
        <f>SQRT(F37)</f>
        <v>2.2360679774997898</v>
      </c>
      <c r="I37">
        <f>F37/F36</f>
        <v>1.25</v>
      </c>
      <c r="J37">
        <f>G37/G36</f>
        <v>1.1180339887498949</v>
      </c>
    </row>
    <row r="38" spans="2:15" x14ac:dyDescent="0.35">
      <c r="B38">
        <f t="shared" si="12"/>
        <v>26</v>
      </c>
      <c r="C38">
        <f t="shared" si="9"/>
        <v>5.0990195135927845</v>
      </c>
      <c r="D38">
        <f t="shared" si="13"/>
        <v>0.19611613513818402</v>
      </c>
      <c r="F38">
        <f>F36/F37</f>
        <v>0.8</v>
      </c>
      <c r="J38" t="b">
        <f>J37=J39</f>
        <v>1</v>
      </c>
    </row>
    <row r="39" spans="2:15" x14ac:dyDescent="0.35">
      <c r="B39">
        <f t="shared" si="12"/>
        <v>27</v>
      </c>
      <c r="C39">
        <f t="shared" si="9"/>
        <v>5.196152422706632</v>
      </c>
      <c r="D39">
        <f t="shared" si="13"/>
        <v>0.19245008972987526</v>
      </c>
      <c r="F39">
        <f>SQRT(F38)</f>
        <v>0.89442719099991586</v>
      </c>
      <c r="G39">
        <f>G36/G37</f>
        <v>0.89442719099991586</v>
      </c>
      <c r="H39" t="b">
        <f>G39=F39</f>
        <v>1</v>
      </c>
      <c r="I39">
        <v>1</v>
      </c>
      <c r="J39">
        <f>I39/G39</f>
        <v>1.1180339887498949</v>
      </c>
    </row>
    <row r="40" spans="2:15" x14ac:dyDescent="0.35">
      <c r="B40">
        <f t="shared" si="12"/>
        <v>28</v>
      </c>
      <c r="C40">
        <f t="shared" si="9"/>
        <v>5.2915026221291814</v>
      </c>
      <c r="D40">
        <f t="shared" si="13"/>
        <v>0.18898223650461363</v>
      </c>
      <c r="F40">
        <v>2</v>
      </c>
    </row>
    <row r="41" spans="2:15" x14ac:dyDescent="0.35">
      <c r="B41">
        <f t="shared" si="12"/>
        <v>29</v>
      </c>
      <c r="C41">
        <f t="shared" si="9"/>
        <v>5.3851648071345037</v>
      </c>
      <c r="D41">
        <f t="shared" si="13"/>
        <v>0.18569533817705186</v>
      </c>
      <c r="F41">
        <f>F40*F39</f>
        <v>1.7888543819998317</v>
      </c>
      <c r="G41">
        <v>1</v>
      </c>
      <c r="H41">
        <f>G41/F41</f>
        <v>0.55901699437494745</v>
      </c>
      <c r="I41">
        <v>2</v>
      </c>
      <c r="J41">
        <f>I41*H41</f>
        <v>1.1180339887498949</v>
      </c>
      <c r="K41">
        <v>5</v>
      </c>
      <c r="L41">
        <f>J41/K41</f>
        <v>0.22360679774997899</v>
      </c>
    </row>
    <row r="42" spans="2:15" x14ac:dyDescent="0.35">
      <c r="B42">
        <f t="shared" si="12"/>
        <v>30</v>
      </c>
      <c r="C42">
        <f t="shared" si="9"/>
        <v>5.4772255750516612</v>
      </c>
      <c r="D42">
        <f t="shared" si="13"/>
        <v>0.18257418583505539</v>
      </c>
      <c r="F42">
        <f>F38*F41</f>
        <v>1.4310835055998654</v>
      </c>
      <c r="H42">
        <f>H41*I53</f>
        <v>0.1118033988749895</v>
      </c>
    </row>
    <row r="43" spans="2:15" x14ac:dyDescent="0.35">
      <c r="B43">
        <f t="shared" si="12"/>
        <v>31</v>
      </c>
      <c r="C43">
        <f t="shared" si="9"/>
        <v>5.5677643628300215</v>
      </c>
      <c r="D43">
        <f t="shared" si="13"/>
        <v>0.17960530202677488</v>
      </c>
    </row>
    <row r="44" spans="2:15" x14ac:dyDescent="0.35">
      <c r="B44">
        <f t="shared" si="12"/>
        <v>32</v>
      </c>
      <c r="C44">
        <f t="shared" si="9"/>
        <v>5.6568542494923806</v>
      </c>
      <c r="D44">
        <f t="shared" si="13"/>
        <v>0.17677669529663689</v>
      </c>
      <c r="F44">
        <v>5</v>
      </c>
      <c r="H44">
        <v>2</v>
      </c>
      <c r="O44" t="s">
        <v>91</v>
      </c>
    </row>
    <row r="45" spans="2:15" x14ac:dyDescent="0.35">
      <c r="B45">
        <f t="shared" si="12"/>
        <v>33</v>
      </c>
      <c r="C45">
        <f t="shared" si="9"/>
        <v>5.7445626465380286</v>
      </c>
      <c r="D45">
        <f t="shared" si="13"/>
        <v>0.17407765595569782</v>
      </c>
      <c r="F45" s="20">
        <f>SQRT(F44)/F44</f>
        <v>0.44721359549995798</v>
      </c>
      <c r="G45" t="b">
        <f>F45=O45</f>
        <v>1</v>
      </c>
      <c r="H45">
        <v>5</v>
      </c>
      <c r="I45">
        <f>H44/H45</f>
        <v>0.4</v>
      </c>
      <c r="K45">
        <v>1</v>
      </c>
      <c r="L45">
        <v>2</v>
      </c>
      <c r="M45">
        <f>L45*F39</f>
        <v>1.7888543819998317</v>
      </c>
      <c r="N45">
        <f>K45/M45</f>
        <v>0.55901699437494745</v>
      </c>
      <c r="O45" s="20">
        <f>N45*F38</f>
        <v>0.44721359549995798</v>
      </c>
    </row>
    <row r="46" spans="2:15" x14ac:dyDescent="0.35">
      <c r="B46">
        <f t="shared" si="12"/>
        <v>34</v>
      </c>
      <c r="C46">
        <f t="shared" si="9"/>
        <v>5.8309518948453007</v>
      </c>
      <c r="D46">
        <f t="shared" si="13"/>
        <v>0.17149858514250885</v>
      </c>
    </row>
    <row r="47" spans="2:15" x14ac:dyDescent="0.35">
      <c r="B47">
        <f t="shared" si="12"/>
        <v>35</v>
      </c>
      <c r="C47">
        <f t="shared" si="9"/>
        <v>5.9160797830996161</v>
      </c>
      <c r="D47">
        <f t="shared" si="13"/>
        <v>0.16903085094570333</v>
      </c>
      <c r="F47">
        <v>5</v>
      </c>
    </row>
    <row r="48" spans="2:15" x14ac:dyDescent="0.35">
      <c r="B48">
        <f t="shared" si="12"/>
        <v>36</v>
      </c>
      <c r="C48">
        <f t="shared" si="9"/>
        <v>6</v>
      </c>
      <c r="D48">
        <f t="shared" si="13"/>
        <v>0.16666666666666666</v>
      </c>
      <c r="F48">
        <f>SQRT(F47)</f>
        <v>2.2360679774997898</v>
      </c>
      <c r="H48">
        <v>4</v>
      </c>
    </row>
    <row r="49" spans="2:10" x14ac:dyDescent="0.35">
      <c r="B49">
        <f t="shared" si="12"/>
        <v>37</v>
      </c>
      <c r="C49">
        <f t="shared" si="9"/>
        <v>6.0827625302982193</v>
      </c>
      <c r="D49">
        <f t="shared" si="13"/>
        <v>0.16439898730535729</v>
      </c>
      <c r="F49">
        <v>4</v>
      </c>
      <c r="H49">
        <v>5</v>
      </c>
    </row>
    <row r="50" spans="2:10" x14ac:dyDescent="0.35">
      <c r="B50">
        <f t="shared" si="12"/>
        <v>38</v>
      </c>
      <c r="C50">
        <f t="shared" si="9"/>
        <v>6.164414002968976</v>
      </c>
      <c r="D50">
        <f t="shared" si="13"/>
        <v>0.16222142113076252</v>
      </c>
      <c r="F50">
        <f>SQRT(F49)</f>
        <v>2</v>
      </c>
    </row>
    <row r="51" spans="2:10" x14ac:dyDescent="0.35">
      <c r="B51">
        <f t="shared" si="12"/>
        <v>39</v>
      </c>
      <c r="C51">
        <f t="shared" si="9"/>
        <v>6.2449979983983983</v>
      </c>
      <c r="D51">
        <f t="shared" si="13"/>
        <v>0.16012815380508713</v>
      </c>
      <c r="F51">
        <f>F48/F50</f>
        <v>1.1180339887498949</v>
      </c>
    </row>
    <row r="52" spans="2:10" x14ac:dyDescent="0.35">
      <c r="B52">
        <f t="shared" si="12"/>
        <v>40</v>
      </c>
      <c r="C52">
        <f t="shared" si="9"/>
        <v>6.324555320336759</v>
      </c>
      <c r="D52">
        <f t="shared" si="13"/>
        <v>0.15811388300841897</v>
      </c>
      <c r="H52">
        <v>1</v>
      </c>
    </row>
    <row r="53" spans="2:10" x14ac:dyDescent="0.35">
      <c r="B53">
        <f t="shared" si="12"/>
        <v>41</v>
      </c>
      <c r="C53">
        <f t="shared" si="9"/>
        <v>6.4031242374328485</v>
      </c>
      <c r="D53">
        <f t="shared" si="13"/>
        <v>0.15617376188860607</v>
      </c>
      <c r="H53">
        <v>5</v>
      </c>
      <c r="I53">
        <f>H52/H53</f>
        <v>0.2</v>
      </c>
      <c r="J53" s="21">
        <f>I53*H41</f>
        <v>0.1118033988749895</v>
      </c>
    </row>
    <row r="54" spans="2:10" x14ac:dyDescent="0.35">
      <c r="B54">
        <f t="shared" si="12"/>
        <v>42</v>
      </c>
      <c r="C54">
        <f t="shared" si="9"/>
        <v>6.4807406984078604</v>
      </c>
      <c r="D54">
        <f t="shared" si="13"/>
        <v>0.15430334996209191</v>
      </c>
      <c r="F54">
        <v>500</v>
      </c>
    </row>
    <row r="55" spans="2:10" x14ac:dyDescent="0.35">
      <c r="B55">
        <f t="shared" si="12"/>
        <v>43</v>
      </c>
      <c r="C55">
        <f t="shared" si="9"/>
        <v>6.5574385243020004</v>
      </c>
      <c r="D55">
        <f t="shared" si="13"/>
        <v>0.15249857033260467</v>
      </c>
      <c r="F55">
        <f>SQRT(F54)</f>
        <v>22.360679774997898</v>
      </c>
    </row>
    <row r="56" spans="2:10" x14ac:dyDescent="0.35">
      <c r="B56">
        <f t="shared" si="12"/>
        <v>44</v>
      </c>
      <c r="C56">
        <f t="shared" si="9"/>
        <v>6.6332495807107996</v>
      </c>
      <c r="D56">
        <f t="shared" si="13"/>
        <v>0.15075567228888181</v>
      </c>
      <c r="F56">
        <v>400</v>
      </c>
    </row>
    <row r="57" spans="2:10" x14ac:dyDescent="0.35">
      <c r="B57">
        <f t="shared" si="12"/>
        <v>45</v>
      </c>
      <c r="C57">
        <f t="shared" si="9"/>
        <v>6.7082039324993694</v>
      </c>
      <c r="D57">
        <f t="shared" si="13"/>
        <v>0.14907119849998599</v>
      </c>
      <c r="F57">
        <f>SQRT(F56)</f>
        <v>20</v>
      </c>
    </row>
    <row r="58" spans="2:10" x14ac:dyDescent="0.35">
      <c r="B58">
        <f t="shared" si="12"/>
        <v>46</v>
      </c>
      <c r="C58">
        <f t="shared" si="9"/>
        <v>6.7823299831252681</v>
      </c>
      <c r="D58">
        <f t="shared" si="13"/>
        <v>0.14744195615489714</v>
      </c>
    </row>
    <row r="60" spans="2:10" x14ac:dyDescent="0.35">
      <c r="F60">
        <v>8</v>
      </c>
    </row>
    <row r="61" spans="2:10" x14ac:dyDescent="0.35">
      <c r="F61">
        <f>SQRT(F60)</f>
        <v>2.8284271247461903</v>
      </c>
    </row>
    <row r="66" spans="6:10" x14ac:dyDescent="0.35">
      <c r="G66">
        <v>4</v>
      </c>
    </row>
    <row r="67" spans="6:10" x14ac:dyDescent="0.35">
      <c r="G67">
        <v>5</v>
      </c>
    </row>
    <row r="68" spans="6:10" x14ac:dyDescent="0.35">
      <c r="F68">
        <v>2</v>
      </c>
      <c r="G68">
        <f>F68*SQRT(G66/G67)</f>
        <v>1.7888543819998317</v>
      </c>
      <c r="H68">
        <v>1</v>
      </c>
      <c r="I68">
        <v>5</v>
      </c>
    </row>
    <row r="69" spans="6:10" x14ac:dyDescent="0.35">
      <c r="H69">
        <f>H68/G68</f>
        <v>0.55901699437494745</v>
      </c>
      <c r="I69">
        <f>H69*J69</f>
        <v>0.1118033988749895</v>
      </c>
      <c r="J69">
        <f>H68/I68</f>
        <v>0.2</v>
      </c>
    </row>
    <row r="71" spans="6:10" x14ac:dyDescent="0.35">
      <c r="F71">
        <v>80</v>
      </c>
    </row>
    <row r="72" spans="6:10" x14ac:dyDescent="0.35">
      <c r="F72">
        <f>SQRT(F71)</f>
        <v>8.9442719099991592</v>
      </c>
      <c r="G72">
        <v>1</v>
      </c>
      <c r="H72">
        <f>G72/F72</f>
        <v>0.11180339887498948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2025-10-05T12:07:44Z</dcterms:created>
  <dcterms:modified xsi:type="dcterms:W3CDTF">2025-10-08T21:38:08Z</dcterms:modified>
</cp:coreProperties>
</file>