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sogorA\DataScience\Edu\Linear_algebra\"/>
    </mc:Choice>
  </mc:AlternateContent>
  <xr:revisionPtr revIDLastSave="0" documentId="13_ncr:1_{EF331A3A-F6DE-41C8-BBD3-2261C83B749F}" xr6:coauthVersionLast="47" xr6:coauthVersionMax="47" xr10:uidLastSave="{00000000-0000-0000-0000-000000000000}"/>
  <bookViews>
    <workbookView xWindow="-120" yWindow="-120" windowWidth="29040" windowHeight="15720" xr2:uid="{6B48EADF-CD2A-4593-B5B4-C8A55DF2A88B}"/>
  </bookViews>
  <sheets>
    <sheet name="cal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2" i="1" l="1"/>
  <c r="N132" i="1"/>
  <c r="M132" i="1"/>
  <c r="L132" i="1"/>
  <c r="I136" i="1"/>
  <c r="M135" i="1"/>
  <c r="L135" i="1"/>
  <c r="K135" i="1"/>
  <c r="J135" i="1"/>
  <c r="H135" i="1"/>
  <c r="F132" i="1"/>
  <c r="H132" i="1"/>
  <c r="I133" i="1"/>
  <c r="J132" i="1"/>
  <c r="J133" i="1" s="1"/>
  <c r="J130" i="1"/>
  <c r="J129" i="1"/>
  <c r="J127" i="1"/>
  <c r="J126" i="1"/>
  <c r="J125" i="1"/>
  <c r="J124" i="1"/>
  <c r="J123" i="1"/>
  <c r="P127" i="1"/>
  <c r="P126" i="1"/>
  <c r="P125" i="1"/>
  <c r="P124" i="1"/>
  <c r="P123" i="1"/>
  <c r="M127" i="1"/>
  <c r="M126" i="1"/>
  <c r="M125" i="1"/>
  <c r="M124" i="1"/>
  <c r="M123" i="1"/>
  <c r="K126" i="1"/>
  <c r="K124" i="1"/>
  <c r="K123" i="1"/>
  <c r="K107" i="1"/>
  <c r="J107" i="1"/>
  <c r="I127" i="1"/>
  <c r="I126" i="1"/>
  <c r="I125" i="1"/>
  <c r="I124" i="1"/>
  <c r="I123" i="1"/>
  <c r="H127" i="1"/>
  <c r="H126" i="1"/>
  <c r="H125" i="1"/>
  <c r="H124" i="1"/>
  <c r="H123" i="1"/>
  <c r="G127" i="1"/>
  <c r="G126" i="1"/>
  <c r="G125" i="1"/>
  <c r="G124" i="1"/>
  <c r="G123" i="1"/>
  <c r="S103" i="1"/>
  <c r="T103" i="1" s="1"/>
  <c r="T104" i="1" s="1"/>
  <c r="S100" i="1"/>
  <c r="S101" i="1" s="1"/>
  <c r="T101" i="1" s="1"/>
  <c r="U101" i="1" s="1"/>
  <c r="X114" i="1"/>
  <c r="Y114" i="1" s="1"/>
  <c r="Y113" i="1"/>
  <c r="Z113" i="1" s="1"/>
  <c r="V118" i="1"/>
  <c r="W118" i="1" s="1"/>
  <c r="X118" i="1" s="1"/>
  <c r="Z112" i="1"/>
  <c r="AA112" i="1" s="1"/>
  <c r="AB112" i="1" s="1"/>
  <c r="AD99" i="1"/>
  <c r="Y107" i="1"/>
  <c r="Z107" i="1" s="1"/>
  <c r="AB107" i="1" s="1"/>
  <c r="AC107" i="1" s="1"/>
  <c r="AC109" i="1" s="1"/>
  <c r="W103" i="1"/>
  <c r="W107" i="1"/>
  <c r="X110" i="1"/>
  <c r="Y110" i="1" s="1"/>
  <c r="Y109" i="1"/>
  <c r="Y108" i="1"/>
  <c r="X108" i="1"/>
  <c r="AA118" i="1" l="1"/>
  <c r="AB118" i="1" s="1"/>
  <c r="AA117" i="1"/>
  <c r="AB117" i="1" s="1"/>
  <c r="AA115" i="1"/>
  <c r="R113" i="1"/>
  <c r="O113" i="1"/>
  <c r="R105" i="1"/>
  <c r="R109" i="1"/>
  <c r="N109" i="1"/>
  <c r="N108" i="1"/>
  <c r="N107" i="1"/>
  <c r="N106" i="1"/>
  <c r="N105" i="1"/>
  <c r="N104" i="1"/>
  <c r="U114" i="1"/>
  <c r="R114" i="1"/>
  <c r="S114" i="1" s="1"/>
  <c r="P114" i="1"/>
  <c r="P115" i="1" s="1"/>
  <c r="N114" i="1"/>
  <c r="Q118" i="1"/>
  <c r="S118" i="1" s="1"/>
  <c r="O118" i="1"/>
  <c r="L118" i="1"/>
  <c r="H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S115" i="1" l="1"/>
  <c r="W115" i="1" s="1"/>
  <c r="X115" i="1" s="1"/>
  <c r="T114" i="1"/>
  <c r="AB115" i="1"/>
  <c r="AC115" i="1" s="1"/>
  <c r="R121" i="1"/>
  <c r="K106" i="1"/>
  <c r="J106" i="1"/>
  <c r="S113" i="1"/>
  <c r="T113" i="1" s="1"/>
  <c r="C102" i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K104" i="1" l="1"/>
  <c r="J104" i="1"/>
  <c r="B109" i="1"/>
  <c r="B113" i="1" s="1"/>
  <c r="B111" i="1"/>
  <c r="B112" i="1"/>
  <c r="E114" i="1"/>
  <c r="E115" i="1"/>
  <c r="K105" i="1"/>
  <c r="J105" i="1"/>
  <c r="J103" i="1"/>
  <c r="K103" i="1"/>
  <c r="J102" i="1"/>
  <c r="K102" i="1"/>
  <c r="I109" i="1"/>
  <c r="I115" i="1" s="1"/>
  <c r="D114" i="1"/>
  <c r="F115" i="1"/>
  <c r="F114" i="1"/>
  <c r="F113" i="1"/>
  <c r="D109" i="1"/>
  <c r="D115" i="1" s="1"/>
  <c r="D111" i="1"/>
  <c r="G109" i="1"/>
  <c r="D112" i="1"/>
  <c r="D113" i="1"/>
  <c r="F109" i="1"/>
  <c r="F111" i="1" s="1"/>
  <c r="E109" i="1"/>
  <c r="E113" i="1" s="1"/>
  <c r="C109" i="1"/>
  <c r="C112" i="1" s="1"/>
  <c r="C114" i="1" l="1"/>
  <c r="I111" i="1"/>
  <c r="B115" i="1"/>
  <c r="E112" i="1"/>
  <c r="B114" i="1"/>
  <c r="I113" i="1"/>
  <c r="E111" i="1"/>
  <c r="C111" i="1"/>
  <c r="F112" i="1"/>
  <c r="I112" i="1"/>
  <c r="C115" i="1"/>
  <c r="C113" i="1"/>
  <c r="I114" i="1"/>
</calcChain>
</file>

<file path=xl/sharedStrings.xml><?xml version="1.0" encoding="utf-8"?>
<sst xmlns="http://schemas.openxmlformats.org/spreadsheetml/2006/main" count="113" uniqueCount="91">
  <si>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</si>
  <si>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</si>
  <si>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</si>
  <si>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</si>
  <si>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</si>
  <si>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</si>
  <si>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</si>
  <si>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</si>
  <si>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</si>
  <si>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</si>
  <si>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</si>
  <si>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</si>
  <si>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</si>
  <si>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</si>
  <si>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</si>
  <si>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</si>
  <si>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</si>
  <si>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</si>
  <si>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</si>
  <si>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</si>
  <si>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</si>
  <si>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</si>
  <si>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</si>
  <si>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</si>
  <si>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</si>
  <si>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</si>
  <si>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</si>
  <si>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</si>
  <si>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</si>
  <si>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</si>
  <si>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</si>
  <si>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</si>
  <si>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</si>
  <si>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</si>
  <si>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</si>
  <si>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</si>
  <si>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Итого еще 15 операций или всего 30 операций.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</si>
  <si>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</si>
  <si>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</si>
  <si>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</si>
  <si>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</si>
  <si>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</si>
  <si>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</si>
  <si>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</si>
  <si>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</si>
  <si>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</si>
  <si>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</si>
  <si>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</si>
  <si>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</si>
  <si>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</si>
  <si>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</si>
  <si>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</si>
  <si>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</si>
  <si>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</si>
  <si>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Итого 15 операций. Всего 60 операций (15+45).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</si>
  <si>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</si>
  <si>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</si>
  <si>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</si>
  <si>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</si>
  <si>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</si>
  <si>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</si>
  <si>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</si>
  <si>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</si>
  <si>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</si>
  <si>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</si>
  <si>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</si>
  <si>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</si>
  <si>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</si>
  <si>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</si>
  <si>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</si>
  <si>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</si>
  <si>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</si>
  <si>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</si>
  <si>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</si>
  <si>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</si>
  <si>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</si>
  <si>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</si>
  <si>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</si>
  <si>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</si>
  <si>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</si>
  <si>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</si>
  <si>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</si>
  <si>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</si>
  <si>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</si>
  <si>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</si>
  <si>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</si>
  <si>
    <t>=2^4*3*5</t>
  </si>
  <si>
    <t>=7*5*3*2^3</t>
  </si>
  <si>
    <t>=5*3^3*2^2</t>
  </si>
  <si>
    <t>=11*5*2^3</t>
  </si>
  <si>
    <t>=103*5*2^2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</si>
</sst>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</fills>
  <borders count="5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  <xf numFmtId="0" fontId="0" fillId="0" borderId="4" xfId="0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dimension ref="A1:AD136"/>
  <sheetViews>
    <sheetView tabSelected="1" topLeftCell="A109" workbookViewId="0">
      <selection activeCell="P132" sqref="P132"/>
    </sheetView>
  </sheetViews>
  <sheetFormatPr defaultRowHeight="15" x14ac:dyDescent="0.25"/>
  <cols>
    <col min="25" max="25" width="12.7109375" customWidth="1"/>
  </cols>
  <sheetData>
    <row r="1" spans="1:7" ht="15.75" thickBot="1" x14ac:dyDescent="0.3">
      <c r="A1" s="5" t="s">
        <v>0</v>
      </c>
    </row>
    <row r="2" spans="1:7" ht="15.75" thickBo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.75" thickBot="1" x14ac:dyDescent="0.3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.75" thickBot="1" x14ac:dyDescent="0.3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.75" thickBot="1" x14ac:dyDescent="0.3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.75" thickBot="1" x14ac:dyDescent="0.3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.75" thickBot="1" x14ac:dyDescent="0.3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.25" x14ac:dyDescent="0.35">
      <c r="A9" s="4" t="s">
        <v>10</v>
      </c>
    </row>
    <row r="11" spans="1:7" x14ac:dyDescent="0.25">
      <c r="A11" t="s">
        <v>11</v>
      </c>
    </row>
    <row r="12" spans="1:7" x14ac:dyDescent="0.25">
      <c r="A12" t="s">
        <v>12</v>
      </c>
    </row>
    <row r="14" spans="1:7" x14ac:dyDescent="0.25">
      <c r="C14" t="s">
        <v>13</v>
      </c>
    </row>
    <row r="15" spans="1:7" x14ac:dyDescent="0.25">
      <c r="C15" t="s">
        <v>14</v>
      </c>
    </row>
    <row r="17" spans="1:7" ht="15.75" thickBot="1" x14ac:dyDescent="0.3">
      <c r="A17" t="s">
        <v>8</v>
      </c>
      <c r="E17" t="s">
        <v>9</v>
      </c>
    </row>
    <row r="18" spans="1:7" ht="15.75" thickBot="1" x14ac:dyDescent="0.3">
      <c r="A18" s="2">
        <v>3</v>
      </c>
      <c r="B18" s="2">
        <v>51</v>
      </c>
      <c r="C18" s="2">
        <v>3</v>
      </c>
      <c r="E18" s="2">
        <v>2200</v>
      </c>
    </row>
    <row r="19" spans="1:7" ht="15.75" thickBot="1" x14ac:dyDescent="0.3">
      <c r="A19" s="3">
        <v>1</v>
      </c>
      <c r="B19" s="3">
        <v>30</v>
      </c>
      <c r="C19" s="3">
        <v>1</v>
      </c>
      <c r="E19" s="3">
        <v>1600</v>
      </c>
    </row>
    <row r="20" spans="1:7" ht="15.75" thickBot="1" x14ac:dyDescent="0.3">
      <c r="A20" s="3">
        <v>2</v>
      </c>
      <c r="B20" s="3">
        <v>45</v>
      </c>
      <c r="C20" s="3">
        <v>2</v>
      </c>
      <c r="E20" s="3">
        <v>1900</v>
      </c>
    </row>
    <row r="22" spans="1:7" x14ac:dyDescent="0.25">
      <c r="A22" s="6" t="s">
        <v>15</v>
      </c>
    </row>
    <row r="24" spans="1:7" x14ac:dyDescent="0.25">
      <c r="A24" t="s">
        <v>16</v>
      </c>
    </row>
    <row r="25" spans="1:7" x14ac:dyDescent="0.25">
      <c r="A25" t="s">
        <v>23</v>
      </c>
    </row>
    <row r="26" spans="1:7" x14ac:dyDescent="0.25">
      <c r="A26" t="s">
        <v>19</v>
      </c>
      <c r="G26" t="s">
        <v>20</v>
      </c>
    </row>
    <row r="27" spans="1:7" x14ac:dyDescent="0.25">
      <c r="A27" t="s">
        <v>18</v>
      </c>
    </row>
    <row r="28" spans="1:7" x14ac:dyDescent="0.25">
      <c r="A28" t="s">
        <v>21</v>
      </c>
      <c r="G28" t="s">
        <v>20</v>
      </c>
    </row>
    <row r="29" spans="1:7" x14ac:dyDescent="0.25">
      <c r="A29" t="s">
        <v>22</v>
      </c>
    </row>
    <row r="30" spans="1:7" x14ac:dyDescent="0.25">
      <c r="A30" t="s">
        <v>24</v>
      </c>
    </row>
    <row r="31" spans="1:7" x14ac:dyDescent="0.25">
      <c r="A31" t="s">
        <v>25</v>
      </c>
    </row>
    <row r="33" spans="1:12" ht="15.75" x14ac:dyDescent="0.25">
      <c r="A33" s="14" t="s">
        <v>26</v>
      </c>
    </row>
    <row r="34" spans="1:12" x14ac:dyDescent="0.25">
      <c r="A34" s="6" t="s">
        <v>17</v>
      </c>
    </row>
    <row r="35" spans="1:12" x14ac:dyDescent="0.25">
      <c r="A35" t="s">
        <v>27</v>
      </c>
    </row>
    <row r="36" spans="1:12" x14ac:dyDescent="0.25">
      <c r="A36" t="s">
        <v>29</v>
      </c>
    </row>
    <row r="37" spans="1:12" x14ac:dyDescent="0.25">
      <c r="A37" s="10" t="s">
        <v>28</v>
      </c>
      <c r="G37" s="6" t="s">
        <v>8</v>
      </c>
      <c r="J37" s="10" t="s">
        <v>9</v>
      </c>
    </row>
    <row r="38" spans="1:12" x14ac:dyDescent="0.2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2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2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25">
      <c r="B41" s="11" t="s">
        <v>50</v>
      </c>
    </row>
    <row r="42" spans="1:12" x14ac:dyDescent="0.25">
      <c r="A42" t="s">
        <v>33</v>
      </c>
    </row>
    <row r="43" spans="1:12" x14ac:dyDescent="0.25">
      <c r="A43" s="10"/>
      <c r="J43" s="10" t="s">
        <v>28</v>
      </c>
    </row>
    <row r="44" spans="1:12" x14ac:dyDescent="0.2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2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2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25">
      <c r="B47" s="11" t="s">
        <v>36</v>
      </c>
    </row>
    <row r="48" spans="1:12" x14ac:dyDescent="0.25">
      <c r="A48" s="6" t="s">
        <v>37</v>
      </c>
    </row>
    <row r="49" spans="1:12" x14ac:dyDescent="0.25">
      <c r="A49" t="s">
        <v>44</v>
      </c>
    </row>
    <row r="50" spans="1:12" x14ac:dyDescent="0.25">
      <c r="B50" s="6" t="s">
        <v>43</v>
      </c>
      <c r="K50" s="6" t="s">
        <v>8</v>
      </c>
    </row>
    <row r="51" spans="1:12" x14ac:dyDescent="0.2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2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2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25">
      <c r="A54" t="s">
        <v>45</v>
      </c>
    </row>
    <row r="55" spans="1:12" x14ac:dyDescent="0.25">
      <c r="A55" t="s">
        <v>38</v>
      </c>
      <c r="E55" t="s">
        <v>39</v>
      </c>
      <c r="I55" t="s">
        <v>42</v>
      </c>
    </row>
    <row r="56" spans="1:12" x14ac:dyDescent="0.25">
      <c r="A56" s="12">
        <f>$F51*J$51+$G51*J$52+$H51*J$53</f>
        <v>14</v>
      </c>
      <c r="B56" s="8" t="s">
        <v>46</v>
      </c>
      <c r="E56" s="12">
        <f>$F51*K$51+$G51*K$52+$H51*K$53</f>
        <v>273</v>
      </c>
      <c r="F56" s="8" t="s">
        <v>40</v>
      </c>
      <c r="I56" s="12">
        <f>$F51*L$51+$G51*L$52+$H51*L$53</f>
        <v>14</v>
      </c>
      <c r="J56" s="8" t="s">
        <v>46</v>
      </c>
    </row>
    <row r="57" spans="1:12" x14ac:dyDescent="0.25">
      <c r="A57" s="12">
        <f>$F52*J$51+$G52*J$52+$H52*J$53</f>
        <v>273</v>
      </c>
      <c r="B57" s="8" t="s">
        <v>47</v>
      </c>
      <c r="E57" s="12">
        <f>$F52*K$51+$G52*K$52+$H52*K$53</f>
        <v>5526</v>
      </c>
      <c r="F57" s="8" t="s">
        <v>41</v>
      </c>
      <c r="I57" s="12">
        <f>$F52*L$51+$G52*L$52+$H52*L$53</f>
        <v>273</v>
      </c>
      <c r="J57" s="8" t="s">
        <v>47</v>
      </c>
    </row>
    <row r="58" spans="1:12" x14ac:dyDescent="0.25">
      <c r="A58" s="12">
        <f>$F53*J$51+$G53*J$52+$H53*J$53</f>
        <v>14</v>
      </c>
      <c r="B58" s="8" t="s">
        <v>46</v>
      </c>
      <c r="E58" s="12">
        <f>$F53*K$51+$G53*K$52+$H53*K$53</f>
        <v>273</v>
      </c>
      <c r="F58" s="8" t="s">
        <v>40</v>
      </c>
      <c r="I58" s="12">
        <f>$F53*L$51+$G53*L$52+$H53*L$53</f>
        <v>14</v>
      </c>
      <c r="J58" s="8" t="s">
        <v>48</v>
      </c>
    </row>
    <row r="59" spans="1:12" x14ac:dyDescent="0.25">
      <c r="B59" s="11" t="s">
        <v>49</v>
      </c>
    </row>
    <row r="60" spans="1:12" x14ac:dyDescent="0.25">
      <c r="A60" t="s">
        <v>51</v>
      </c>
      <c r="B60" s="8"/>
      <c r="F60" s="8"/>
    </row>
    <row r="61" spans="1:12" x14ac:dyDescent="0.25">
      <c r="G61" s="6" t="s">
        <v>43</v>
      </c>
      <c r="J61" s="10" t="s">
        <v>9</v>
      </c>
    </row>
    <row r="62" spans="1:12" x14ac:dyDescent="0.25">
      <c r="A62" s="12">
        <f>F62*J$62+G62*J$63+H62*J$64</f>
        <v>494200</v>
      </c>
      <c r="B62" s="8" t="s">
        <v>53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25">
      <c r="A63" s="12">
        <f t="shared" ref="A63:A64" si="5">F63*J$62+G63*J$63+H63*J$64</f>
        <v>9960900</v>
      </c>
      <c r="B63" s="8" t="s">
        <v>52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25">
      <c r="A64" s="12">
        <f t="shared" si="5"/>
        <v>494200</v>
      </c>
      <c r="B64" s="8" t="s">
        <v>53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25">
      <c r="B65" s="11" t="s">
        <v>54</v>
      </c>
    </row>
    <row r="67" spans="1:3" x14ac:dyDescent="0.25">
      <c r="A67" s="6" t="s">
        <v>57</v>
      </c>
      <c r="B67" s="8"/>
    </row>
    <row r="68" spans="1:3" x14ac:dyDescent="0.25">
      <c r="C68" s="8" t="s">
        <v>55</v>
      </c>
    </row>
    <row r="69" spans="1:3" x14ac:dyDescent="0.25">
      <c r="A69" s="12">
        <v>494200</v>
      </c>
      <c r="C69" s="8" t="s">
        <v>56</v>
      </c>
    </row>
    <row r="70" spans="1:3" x14ac:dyDescent="0.25">
      <c r="A70" s="12">
        <v>9960900</v>
      </c>
      <c r="C70" t="s">
        <v>58</v>
      </c>
    </row>
    <row r="71" spans="1:3" x14ac:dyDescent="0.25">
      <c r="A71" s="12">
        <v>494200</v>
      </c>
      <c r="C71" t="s">
        <v>59</v>
      </c>
    </row>
    <row r="74" spans="1:3" ht="23.25" x14ac:dyDescent="0.25">
      <c r="A74" s="15" t="s">
        <v>60</v>
      </c>
    </row>
    <row r="75" spans="1:3" x14ac:dyDescent="0.25">
      <c r="A75" t="s">
        <v>71</v>
      </c>
    </row>
    <row r="76" spans="1:3" x14ac:dyDescent="0.25">
      <c r="A76" t="s">
        <v>72</v>
      </c>
    </row>
    <row r="77" spans="1:3" x14ac:dyDescent="0.25">
      <c r="A77" t="s">
        <v>73</v>
      </c>
    </row>
    <row r="78" spans="1:3" x14ac:dyDescent="0.25">
      <c r="A78" s="6" t="s">
        <v>15</v>
      </c>
    </row>
    <row r="79" spans="1:3" x14ac:dyDescent="0.25">
      <c r="A79" t="s">
        <v>67</v>
      </c>
    </row>
    <row r="80" spans="1:3" x14ac:dyDescent="0.25">
      <c r="A80" t="s">
        <v>61</v>
      </c>
    </row>
    <row r="81" spans="1:9" x14ac:dyDescent="0.25">
      <c r="A81" t="s">
        <v>62</v>
      </c>
    </row>
    <row r="82" spans="1:9" x14ac:dyDescent="0.25">
      <c r="A82" t="s">
        <v>63</v>
      </c>
    </row>
    <row r="83" spans="1:9" x14ac:dyDescent="0.25">
      <c r="A83" t="s">
        <v>64</v>
      </c>
    </row>
    <row r="84" spans="1:9" x14ac:dyDescent="0.25">
      <c r="A84" t="s">
        <v>65</v>
      </c>
    </row>
    <row r="85" spans="1:9" x14ac:dyDescent="0.25">
      <c r="A85" t="s">
        <v>66</v>
      </c>
    </row>
    <row r="87" spans="1:9" x14ac:dyDescent="0.25">
      <c r="A87" s="6" t="s">
        <v>26</v>
      </c>
    </row>
    <row r="88" spans="1:9" x14ac:dyDescent="0.25">
      <c r="A88" s="13" t="s">
        <v>68</v>
      </c>
    </row>
    <row r="89" spans="1:9" x14ac:dyDescent="0.2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25">
      <c r="C90" s="16"/>
      <c r="D90" s="16"/>
      <c r="E90" s="16" t="s">
        <v>69</v>
      </c>
      <c r="F90" s="16"/>
      <c r="G90" s="16"/>
      <c r="I90" s="9" t="s">
        <v>70</v>
      </c>
    </row>
    <row r="91" spans="1:9" x14ac:dyDescent="0.2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2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2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2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2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30" x14ac:dyDescent="0.25">
      <c r="A97" s="13" t="s">
        <v>74</v>
      </c>
    </row>
    <row r="98" spans="1:30" x14ac:dyDescent="0.25">
      <c r="A98" t="s">
        <v>75</v>
      </c>
    </row>
    <row r="99" spans="1:30" x14ac:dyDescent="0.25">
      <c r="A99" t="s">
        <v>76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  <c r="AB99">
        <v>95</v>
      </c>
      <c r="AC99">
        <v>5</v>
      </c>
      <c r="AD99">
        <f>AB99/AC99</f>
        <v>19</v>
      </c>
    </row>
    <row r="100" spans="1:30" x14ac:dyDescent="0.25">
      <c r="A100" t="s">
        <v>77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  <c r="S100">
        <f>1/5</f>
        <v>0.2</v>
      </c>
    </row>
    <row r="101" spans="1:30" x14ac:dyDescent="0.25">
      <c r="A101" t="s">
        <v>78</v>
      </c>
      <c r="S101">
        <f>S100^2</f>
        <v>4.0000000000000008E-2</v>
      </c>
      <c r="T101">
        <f>S101*5</f>
        <v>0.20000000000000004</v>
      </c>
      <c r="U101">
        <f>SQRT(T101)</f>
        <v>0.44721359549995798</v>
      </c>
    </row>
    <row r="102" spans="1:30" x14ac:dyDescent="0.2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  <c r="J102" s="19">
        <f>I102^2</f>
        <v>57600</v>
      </c>
      <c r="K102">
        <f>SQRT(ABS(I102))</f>
        <v>15.491933384829668</v>
      </c>
      <c r="M102" t="s">
        <v>83</v>
      </c>
      <c r="Z102">
        <v>2255</v>
      </c>
    </row>
    <row r="103" spans="1:30" x14ac:dyDescent="0.2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  <c r="J103" s="19">
        <f t="shared" ref="J103:J106" si="12">I103^2</f>
        <v>705600</v>
      </c>
      <c r="K103">
        <f t="shared" ref="K103:K106" si="13">SQRT(ABS(I103))</f>
        <v>28.982753492378876</v>
      </c>
      <c r="S103">
        <f>4/5</f>
        <v>0.8</v>
      </c>
      <c r="T103">
        <f>SQRT(S103)</f>
        <v>0.89442719099991586</v>
      </c>
      <c r="W103">
        <f>W104*W105*W106</f>
        <v>1805</v>
      </c>
    </row>
    <row r="104" spans="1:30" x14ac:dyDescent="0.25">
      <c r="B104" s="7">
        <f t="shared" ref="B104:G104" si="14">B93-B$100</f>
        <v>0</v>
      </c>
      <c r="C104" s="17">
        <f t="shared" si="14"/>
        <v>-0.20000000000000284</v>
      </c>
      <c r="D104" s="7">
        <f t="shared" si="14"/>
        <v>0</v>
      </c>
      <c r="E104" s="17">
        <f t="shared" si="14"/>
        <v>-0.2</v>
      </c>
      <c r="F104" s="17">
        <f t="shared" si="14"/>
        <v>0.19999999999999996</v>
      </c>
      <c r="G104" s="7">
        <f t="shared" si="14"/>
        <v>0</v>
      </c>
      <c r="I104" s="7">
        <f t="shared" ref="I104" si="15">I93-I$100</f>
        <v>-540</v>
      </c>
      <c r="J104" s="19">
        <f t="shared" si="12"/>
        <v>291600</v>
      </c>
      <c r="K104">
        <f t="shared" si="13"/>
        <v>23.2379000772445</v>
      </c>
      <c r="M104">
        <v>29</v>
      </c>
      <c r="N104">
        <f>M104^2</f>
        <v>841</v>
      </c>
      <c r="T104">
        <f>T103*2</f>
        <v>1.7888543819998317</v>
      </c>
      <c r="W104">
        <v>5</v>
      </c>
    </row>
    <row r="105" spans="1:30" x14ac:dyDescent="0.25">
      <c r="B105" s="7">
        <f t="shared" ref="B105:G105" si="16">B94-B$100</f>
        <v>1</v>
      </c>
      <c r="C105" s="17">
        <f t="shared" si="16"/>
        <v>9.7999999999999972</v>
      </c>
      <c r="D105" s="7">
        <f t="shared" si="16"/>
        <v>-1</v>
      </c>
      <c r="E105" s="17">
        <f t="shared" si="16"/>
        <v>-0.2</v>
      </c>
      <c r="F105" s="17">
        <f t="shared" si="16"/>
        <v>0.19999999999999996</v>
      </c>
      <c r="G105" s="7">
        <f t="shared" si="16"/>
        <v>0</v>
      </c>
      <c r="I105" s="7">
        <f t="shared" ref="I105" si="17">I94-I$100</f>
        <v>-440</v>
      </c>
      <c r="J105" s="19">
        <f t="shared" si="12"/>
        <v>193600</v>
      </c>
      <c r="K105">
        <f t="shared" si="13"/>
        <v>20.976176963403031</v>
      </c>
      <c r="M105">
        <v>76</v>
      </c>
      <c r="N105">
        <f t="shared" ref="N105:N108" si="18">M105^2</f>
        <v>5776</v>
      </c>
      <c r="R105">
        <f>5*451</f>
        <v>2255</v>
      </c>
      <c r="W105">
        <v>19</v>
      </c>
    </row>
    <row r="106" spans="1:30" x14ac:dyDescent="0.25">
      <c r="B106" s="7">
        <f t="shared" ref="B106:G106" si="19">B95-B$100</f>
        <v>-1</v>
      </c>
      <c r="C106" s="17">
        <f t="shared" si="19"/>
        <v>-0.20000000000000284</v>
      </c>
      <c r="D106" s="7">
        <f t="shared" si="19"/>
        <v>1</v>
      </c>
      <c r="E106" s="17">
        <f t="shared" si="19"/>
        <v>0.8</v>
      </c>
      <c r="F106" s="17">
        <f t="shared" si="19"/>
        <v>-0.8</v>
      </c>
      <c r="G106" s="7">
        <f t="shared" si="19"/>
        <v>0</v>
      </c>
      <c r="I106" s="7">
        <f t="shared" ref="I106" si="20">I95-I$100</f>
        <v>2060</v>
      </c>
      <c r="J106" s="19">
        <f t="shared" si="12"/>
        <v>4243600</v>
      </c>
      <c r="K106">
        <f t="shared" si="13"/>
        <v>45.387222871640866</v>
      </c>
      <c r="M106">
        <v>1</v>
      </c>
      <c r="N106">
        <f t="shared" si="18"/>
        <v>1</v>
      </c>
      <c r="W106">
        <v>19</v>
      </c>
    </row>
    <row r="107" spans="1:30" x14ac:dyDescent="0.25">
      <c r="A107" t="s">
        <v>79</v>
      </c>
      <c r="J107" s="19">
        <f>SUM(J102:J106)</f>
        <v>5492000</v>
      </c>
      <c r="K107">
        <f>SQRT(ABS(J107))</f>
        <v>2343.5016535091245</v>
      </c>
      <c r="M107">
        <v>49</v>
      </c>
      <c r="N107">
        <f t="shared" si="18"/>
        <v>2401</v>
      </c>
      <c r="V107">
        <v>95</v>
      </c>
      <c r="W107">
        <f>V107*V107</f>
        <v>9025</v>
      </c>
      <c r="Y107">
        <f>V107*V107</f>
        <v>9025</v>
      </c>
      <c r="Z107">
        <f>Y107/5</f>
        <v>1805</v>
      </c>
      <c r="AA107">
        <v>1804</v>
      </c>
      <c r="AB107">
        <f>AA107/Z107</f>
        <v>0.99944598337950141</v>
      </c>
      <c r="AC107">
        <f>SQRT(AB107)</f>
        <v>0.99972295331231709</v>
      </c>
    </row>
    <row r="108" spans="1:30" x14ac:dyDescent="0.25">
      <c r="A108" t="s">
        <v>80</v>
      </c>
      <c r="M108">
        <v>1</v>
      </c>
      <c r="N108">
        <f t="shared" si="18"/>
        <v>1</v>
      </c>
      <c r="V108">
        <v>9020</v>
      </c>
      <c r="W108">
        <v>25</v>
      </c>
      <c r="X108">
        <f>V108/W108</f>
        <v>360.8</v>
      </c>
      <c r="Y108">
        <f>SQRT(X108)</f>
        <v>18.994736112934024</v>
      </c>
      <c r="AC108">
        <v>19</v>
      </c>
    </row>
    <row r="109" spans="1:30" x14ac:dyDescent="0.25">
      <c r="B109">
        <f>(B102^2+B103^2+B104^2+B105^2+B106^2)^(1/2)</f>
        <v>2</v>
      </c>
      <c r="C109">
        <f t="shared" ref="C109:I109" si="21">(C102^2+C103^2+C104^2+C105^2+C106^2)^(1/2)</f>
        <v>18.994736112934028</v>
      </c>
      <c r="D109">
        <f t="shared" si="21"/>
        <v>2</v>
      </c>
      <c r="E109">
        <f t="shared" si="21"/>
        <v>0.89442719099991597</v>
      </c>
      <c r="F109">
        <f t="shared" si="21"/>
        <v>0.89442719099991586</v>
      </c>
      <c r="G109">
        <f t="shared" si="21"/>
        <v>0</v>
      </c>
      <c r="H109">
        <f t="shared" si="21"/>
        <v>0</v>
      </c>
      <c r="I109">
        <f t="shared" si="21"/>
        <v>2343.5016535091245</v>
      </c>
      <c r="N109">
        <f>SUM(N104:N108)</f>
        <v>9020</v>
      </c>
      <c r="P109">
        <v>2255</v>
      </c>
      <c r="Q109">
        <v>4</v>
      </c>
      <c r="R109">
        <f>Q109*P109</f>
        <v>9020</v>
      </c>
      <c r="X109">
        <v>441</v>
      </c>
      <c r="Y109">
        <f>SQRT(X109)</f>
        <v>21</v>
      </c>
      <c r="AC109">
        <f>AC108*AC107</f>
        <v>18.994736112934024</v>
      </c>
    </row>
    <row r="110" spans="1:30" x14ac:dyDescent="0.25">
      <c r="A110" t="s">
        <v>81</v>
      </c>
      <c r="X110" s="17">
        <f>X109-X108</f>
        <v>80.199999999999989</v>
      </c>
      <c r="Y110">
        <f>SQRT(X110)</f>
        <v>8.9554452708952432</v>
      </c>
    </row>
    <row r="111" spans="1:30" x14ac:dyDescent="0.25">
      <c r="B111" s="18">
        <f>B102/B$109</f>
        <v>0.5</v>
      </c>
      <c r="C111" s="18">
        <f t="shared" ref="C111:I111" si="22">C102/C$109</f>
        <v>0.30534775347842924</v>
      </c>
      <c r="D111" s="18">
        <f t="shared" si="22"/>
        <v>0.5</v>
      </c>
      <c r="E111" s="18">
        <f t="shared" si="22"/>
        <v>-0.22360679774997896</v>
      </c>
      <c r="F111" s="18">
        <f t="shared" si="22"/>
        <v>0.22360679774997894</v>
      </c>
      <c r="G111" s="18"/>
      <c r="H111" s="18"/>
      <c r="I111" s="18">
        <f t="shared" si="22"/>
        <v>-0.10241085157359611</v>
      </c>
    </row>
    <row r="112" spans="1:30" x14ac:dyDescent="0.25">
      <c r="B112" s="18">
        <f t="shared" ref="B112:I115" si="23">B103/B$109</f>
        <v>-0.5</v>
      </c>
      <c r="C112" s="18">
        <f t="shared" si="23"/>
        <v>-0.80022169877105653</v>
      </c>
      <c r="D112" s="18">
        <f t="shared" si="23"/>
        <v>-0.5</v>
      </c>
      <c r="E112" s="18">
        <f t="shared" si="23"/>
        <v>-0.22360679774997896</v>
      </c>
      <c r="F112" s="18">
        <f t="shared" si="23"/>
        <v>0.22360679774997894</v>
      </c>
      <c r="G112" s="18"/>
      <c r="H112" s="18"/>
      <c r="I112" s="18">
        <f t="shared" si="23"/>
        <v>-0.35843798050758635</v>
      </c>
      <c r="N112" t="s">
        <v>82</v>
      </c>
      <c r="Y112">
        <v>4</v>
      </c>
      <c r="Z112">
        <f>1/5</f>
        <v>0.2</v>
      </c>
      <c r="AA112">
        <f>SQRT(Z112)</f>
        <v>0.44721359549995793</v>
      </c>
      <c r="AB112">
        <f>Y112*AA112</f>
        <v>1.7888543819998317</v>
      </c>
    </row>
    <row r="113" spans="2:29" x14ac:dyDescent="0.25">
      <c r="B113" s="18">
        <f t="shared" si="23"/>
        <v>0</v>
      </c>
      <c r="C113" s="18">
        <f t="shared" si="23"/>
        <v>-1.0529232878566681E-2</v>
      </c>
      <c r="D113" s="18">
        <f t="shared" si="23"/>
        <v>0</v>
      </c>
      <c r="E113" s="18">
        <f t="shared" si="23"/>
        <v>-0.22360679774997896</v>
      </c>
      <c r="F113" s="18">
        <f t="shared" si="23"/>
        <v>0.22360679774997894</v>
      </c>
      <c r="G113" s="18"/>
      <c r="H113" s="18"/>
      <c r="I113" s="18">
        <f t="shared" si="23"/>
        <v>-0.23042441604059125</v>
      </c>
      <c r="O113">
        <f>O114</f>
        <v>2255</v>
      </c>
      <c r="R113">
        <f>38^2</f>
        <v>1444</v>
      </c>
      <c r="S113">
        <f>R113-O113</f>
        <v>-811</v>
      </c>
      <c r="T113">
        <f>SQRT(-S113)</f>
        <v>28.478061731796284</v>
      </c>
      <c r="W113">
        <v>4</v>
      </c>
      <c r="X113">
        <v>5</v>
      </c>
      <c r="Y113">
        <f>W113/X113</f>
        <v>0.8</v>
      </c>
      <c r="Z113">
        <f>SQRT(Y113)</f>
        <v>0.89442719099991586</v>
      </c>
    </row>
    <row r="114" spans="2:29" x14ac:dyDescent="0.25">
      <c r="B114" s="18">
        <f t="shared" si="23"/>
        <v>0.5</v>
      </c>
      <c r="C114" s="18">
        <f t="shared" si="23"/>
        <v>0.51593241104975984</v>
      </c>
      <c r="D114" s="18">
        <f t="shared" si="23"/>
        <v>-0.5</v>
      </c>
      <c r="E114" s="18">
        <f t="shared" si="23"/>
        <v>-0.22360679774997896</v>
      </c>
      <c r="F114" s="18">
        <f t="shared" si="23"/>
        <v>0.22360679774997894</v>
      </c>
      <c r="G114" s="18"/>
      <c r="H114" s="18"/>
      <c r="I114" s="18">
        <f t="shared" si="23"/>
        <v>-0.18775322788492621</v>
      </c>
      <c r="N114">
        <f>2/5</f>
        <v>0.4</v>
      </c>
      <c r="O114">
        <v>2255</v>
      </c>
      <c r="P114">
        <f>SQRT(O114)</f>
        <v>47.486840282335066</v>
      </c>
      <c r="R114">
        <f>48^2</f>
        <v>2304</v>
      </c>
      <c r="S114">
        <f>R114-O114</f>
        <v>49</v>
      </c>
      <c r="T114">
        <f>SQRT(S114)</f>
        <v>7</v>
      </c>
      <c r="U114">
        <f>48^2-7^2</f>
        <v>2255</v>
      </c>
      <c r="X114">
        <f>SQRT(X113)</f>
        <v>2.2360679774997898</v>
      </c>
      <c r="Y114">
        <f>X114/5</f>
        <v>0.44721359549995798</v>
      </c>
    </row>
    <row r="115" spans="2:29" x14ac:dyDescent="0.25">
      <c r="B115" s="18">
        <f t="shared" si="23"/>
        <v>-0.5</v>
      </c>
      <c r="C115" s="18">
        <f t="shared" si="23"/>
        <v>-1.0529232878566681E-2</v>
      </c>
      <c r="D115" s="18">
        <f t="shared" si="23"/>
        <v>0.5</v>
      </c>
      <c r="E115" s="18">
        <f t="shared" si="23"/>
        <v>0.89442719099991586</v>
      </c>
      <c r="F115" s="18">
        <f t="shared" si="23"/>
        <v>-0.89442719099991597</v>
      </c>
      <c r="G115" s="18"/>
      <c r="H115" s="18"/>
      <c r="I115" s="18">
        <f t="shared" si="23"/>
        <v>0.87902647600669992</v>
      </c>
      <c r="P115">
        <f>P114*2/5</f>
        <v>18.994736112934028</v>
      </c>
      <c r="S115">
        <f>R114-S114</f>
        <v>2255</v>
      </c>
      <c r="W115">
        <f>S115*4</f>
        <v>9020</v>
      </c>
      <c r="X115">
        <f>SQRT(W115)</f>
        <v>94.973680564670133</v>
      </c>
      <c r="Z115">
        <v>96</v>
      </c>
      <c r="AA115">
        <f>Z115^2</f>
        <v>9216</v>
      </c>
      <c r="AB115">
        <f>AA115-W115</f>
        <v>196</v>
      </c>
      <c r="AC115">
        <f>SQRT(AB115)</f>
        <v>14</v>
      </c>
    </row>
    <row r="117" spans="2:29" x14ac:dyDescent="0.25">
      <c r="Z117" t="s">
        <v>84</v>
      </c>
      <c r="AA117">
        <f>90-14</f>
        <v>76</v>
      </c>
      <c r="AB117">
        <f>SQRT(AA117)</f>
        <v>8.717797887081348</v>
      </c>
    </row>
    <row r="118" spans="2:29" x14ac:dyDescent="0.25">
      <c r="L118">
        <f>51/5</f>
        <v>10.199999999999999</v>
      </c>
      <c r="N118">
        <v>45.2</v>
      </c>
      <c r="O118">
        <f>N118/5</f>
        <v>9.0400000000000009</v>
      </c>
      <c r="Q118">
        <f>9*25</f>
        <v>225</v>
      </c>
      <c r="R118">
        <v>25</v>
      </c>
      <c r="S118">
        <f>Q118/R118</f>
        <v>9</v>
      </c>
      <c r="U118">
        <v>2</v>
      </c>
      <c r="V118">
        <f>4/5</f>
        <v>0.8</v>
      </c>
      <c r="W118">
        <f>SQRT(V118)</f>
        <v>0.89442719099991586</v>
      </c>
      <c r="X118">
        <f>W118*U118</f>
        <v>1.7888543819998317</v>
      </c>
      <c r="Z118" t="s">
        <v>85</v>
      </c>
      <c r="AA118">
        <f>90+14</f>
        <v>104</v>
      </c>
      <c r="AB118">
        <f>SQRT(AA118)</f>
        <v>10.198039027185569</v>
      </c>
    </row>
    <row r="120" spans="2:29" x14ac:dyDescent="0.25">
      <c r="H120">
        <v>2</v>
      </c>
    </row>
    <row r="121" spans="2:29" x14ac:dyDescent="0.25">
      <c r="H121">
        <v>5</v>
      </c>
      <c r="R121">
        <f>Q118/5</f>
        <v>45</v>
      </c>
    </row>
    <row r="122" spans="2:29" x14ac:dyDescent="0.25">
      <c r="H122">
        <v>10</v>
      </c>
      <c r="I122">
        <v>2</v>
      </c>
      <c r="K122">
        <v>2</v>
      </c>
    </row>
    <row r="123" spans="2:29" x14ac:dyDescent="0.25">
      <c r="F123">
        <v>-240</v>
      </c>
      <c r="G123">
        <f>ABS(F123)</f>
        <v>240</v>
      </c>
      <c r="H123">
        <f>$G123/H$122</f>
        <v>24</v>
      </c>
      <c r="I123">
        <f>$H123/I$122</f>
        <v>12</v>
      </c>
      <c r="J123">
        <f>I123^2</f>
        <v>144</v>
      </c>
      <c r="K123">
        <f>I123/K$122</f>
        <v>6</v>
      </c>
      <c r="M123">
        <f>2^4*3*5</f>
        <v>240</v>
      </c>
      <c r="N123" s="8" t="s">
        <v>86</v>
      </c>
      <c r="P123">
        <f>G123/10/2</f>
        <v>12</v>
      </c>
    </row>
    <row r="124" spans="2:29" x14ac:dyDescent="0.25">
      <c r="F124">
        <v>-840</v>
      </c>
      <c r="G124">
        <f t="shared" ref="G124:G127" si="24">ABS(F124)</f>
        <v>840</v>
      </c>
      <c r="H124">
        <f t="shared" ref="H124:H127" si="25">$G124/H$122</f>
        <v>84</v>
      </c>
      <c r="I124">
        <f t="shared" ref="I124:I127" si="26">$H124/I$122</f>
        <v>42</v>
      </c>
      <c r="J124">
        <f t="shared" ref="J124:J127" si="27">I124^2</f>
        <v>1764</v>
      </c>
      <c r="K124">
        <f>I124/K$122</f>
        <v>21</v>
      </c>
      <c r="M124">
        <f>7*5*3*2^3</f>
        <v>840</v>
      </c>
      <c r="N124" s="8" t="s">
        <v>87</v>
      </c>
      <c r="P124">
        <f>G124/10/2</f>
        <v>42</v>
      </c>
    </row>
    <row r="125" spans="2:29" x14ac:dyDescent="0.25">
      <c r="F125">
        <v>-540</v>
      </c>
      <c r="G125">
        <f t="shared" si="24"/>
        <v>540</v>
      </c>
      <c r="H125">
        <f t="shared" si="25"/>
        <v>54</v>
      </c>
      <c r="I125">
        <f t="shared" si="26"/>
        <v>27</v>
      </c>
      <c r="J125">
        <f t="shared" si="27"/>
        <v>729</v>
      </c>
      <c r="M125">
        <f>5*3^3*2^2</f>
        <v>540</v>
      </c>
      <c r="N125" s="8" t="s">
        <v>88</v>
      </c>
      <c r="P125">
        <f>G125/10/2</f>
        <v>27</v>
      </c>
    </row>
    <row r="126" spans="2:29" x14ac:dyDescent="0.25">
      <c r="F126">
        <v>-440</v>
      </c>
      <c r="G126">
        <f t="shared" si="24"/>
        <v>440</v>
      </c>
      <c r="H126">
        <f t="shared" si="25"/>
        <v>44</v>
      </c>
      <c r="I126">
        <f t="shared" si="26"/>
        <v>22</v>
      </c>
      <c r="J126">
        <f t="shared" si="27"/>
        <v>484</v>
      </c>
      <c r="K126">
        <f>I126/K$122</f>
        <v>11</v>
      </c>
      <c r="M126">
        <f>11*5*2^3</f>
        <v>440</v>
      </c>
      <c r="N126" s="8" t="s">
        <v>89</v>
      </c>
      <c r="P126">
        <f>G126/10/2</f>
        <v>22</v>
      </c>
    </row>
    <row r="127" spans="2:29" x14ac:dyDescent="0.25">
      <c r="F127">
        <v>2060</v>
      </c>
      <c r="G127">
        <f t="shared" si="24"/>
        <v>2060</v>
      </c>
      <c r="H127">
        <f t="shared" si="25"/>
        <v>206</v>
      </c>
      <c r="I127">
        <f t="shared" si="26"/>
        <v>103</v>
      </c>
      <c r="J127">
        <f t="shared" si="27"/>
        <v>10609</v>
      </c>
      <c r="M127">
        <f>103*5*2^2</f>
        <v>2060</v>
      </c>
      <c r="N127" s="8" t="s">
        <v>90</v>
      </c>
      <c r="P127">
        <f>G127/10/2</f>
        <v>103</v>
      </c>
    </row>
    <row r="129" spans="6:16" x14ac:dyDescent="0.25">
      <c r="J129">
        <f>SUM(J123:J128)</f>
        <v>13730</v>
      </c>
    </row>
    <row r="130" spans="6:16" x14ac:dyDescent="0.25">
      <c r="J130">
        <f>SQRT(J129)</f>
        <v>117.17508267545622</v>
      </c>
    </row>
    <row r="132" spans="6:16" x14ac:dyDescent="0.25">
      <c r="F132">
        <f>G132*H132</f>
        <v>117</v>
      </c>
      <c r="G132">
        <v>13</v>
      </c>
      <c r="H132">
        <f>I132/13</f>
        <v>9</v>
      </c>
      <c r="I132">
        <v>117</v>
      </c>
      <c r="J132">
        <f>I132^2</f>
        <v>13689</v>
      </c>
      <c r="K132">
        <v>41</v>
      </c>
      <c r="L132">
        <f>K132+J132</f>
        <v>13730</v>
      </c>
      <c r="M132">
        <f>L132/J132</f>
        <v>1.0029951055592081</v>
      </c>
      <c r="N132">
        <f>SQRT(M132)</f>
        <v>1.0014964331235574</v>
      </c>
      <c r="O132">
        <v>2340</v>
      </c>
      <c r="P132">
        <f>O132*N132</f>
        <v>2343.5016535091245</v>
      </c>
    </row>
    <row r="133" spans="6:16" x14ac:dyDescent="0.25">
      <c r="I133">
        <f>I132*20</f>
        <v>2340</v>
      </c>
      <c r="J133">
        <f>J132-J129</f>
        <v>-41</v>
      </c>
    </row>
    <row r="135" spans="6:16" x14ac:dyDescent="0.25">
      <c r="H135">
        <f>I135/2</f>
        <v>59</v>
      </c>
      <c r="I135">
        <v>118</v>
      </c>
      <c r="J135">
        <f>I135^2</f>
        <v>13924</v>
      </c>
      <c r="K135">
        <f>J135-J129</f>
        <v>194</v>
      </c>
      <c r="L135">
        <f>K135/2</f>
        <v>97</v>
      </c>
      <c r="M135">
        <f>L135/7</f>
        <v>13.857142857142858</v>
      </c>
    </row>
    <row r="136" spans="6:16" x14ac:dyDescent="0.25">
      <c r="I136">
        <f>I135*20</f>
        <v>2360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iTony Jah</cp:lastModifiedBy>
  <dcterms:created xsi:type="dcterms:W3CDTF">2025-10-05T12:07:44Z</dcterms:created>
  <dcterms:modified xsi:type="dcterms:W3CDTF">2025-10-08T08:36:07Z</dcterms:modified>
</cp:coreProperties>
</file>