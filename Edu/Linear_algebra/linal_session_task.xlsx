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sogorA\DataScience\Edu\Linear_algebra\"/>
    </mc:Choice>
  </mc:AlternateContent>
  <xr:revisionPtr revIDLastSave="0" documentId="13_ncr:1_{718BEFFB-9276-4255-8461-A2CDAF945A2E}" xr6:coauthVersionLast="47" xr6:coauthVersionMax="47" xr10:uidLastSave="{00000000-0000-0000-0000-000000000000}"/>
  <bookViews>
    <workbookView xWindow="14295" yWindow="0" windowWidth="14610" windowHeight="15585" activeTab="2" xr2:uid="{6B48EADF-CD2A-4593-B5B4-C8A55DF2A88B}"/>
  </bookViews>
  <sheets>
    <sheet name="calc" sheetId="1" r:id="rId1"/>
    <sheet name="Sheet1" sheetId="2" r:id="rId2"/>
    <sheet name="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" l="1"/>
  <c r="J30" i="3"/>
  <c r="J29" i="3"/>
  <c r="J28" i="3"/>
  <c r="J27" i="3"/>
  <c r="J19" i="3"/>
  <c r="K12" i="3"/>
  <c r="K13" i="3" s="1"/>
  <c r="R9" i="3"/>
  <c r="O9" i="3"/>
  <c r="L9" i="3"/>
  <c r="I9" i="3"/>
  <c r="F9" i="3"/>
  <c r="B9" i="3"/>
  <c r="E155" i="1"/>
  <c r="G156" i="1" s="1"/>
  <c r="C153" i="1" l="1"/>
  <c r="C154" i="1" s="1"/>
  <c r="E149" i="1"/>
  <c r="E150" i="1" s="1"/>
  <c r="D150" i="1"/>
  <c r="R26" i="3"/>
  <c r="R27" i="3" s="1"/>
  <c r="T24" i="3"/>
  <c r="S24" i="3"/>
  <c r="K4" i="3"/>
  <c r="K5" i="3" s="1"/>
  <c r="K6" i="3" s="1"/>
  <c r="K7" i="3" s="1"/>
  <c r="S11" i="3"/>
  <c r="H19" i="3" s="1"/>
  <c r="H27" i="3" s="1"/>
  <c r="M12" i="3"/>
  <c r="F20" i="3" s="1"/>
  <c r="F28" i="3" s="1"/>
  <c r="Q11" i="3"/>
  <c r="Q12" i="3" s="1"/>
  <c r="Q13" i="3" s="1"/>
  <c r="S13" i="3" s="1"/>
  <c r="H21" i="3" s="1"/>
  <c r="H29" i="3" s="1"/>
  <c r="N12" i="3"/>
  <c r="N13" i="3" s="1"/>
  <c r="P14" i="3" s="1"/>
  <c r="G22" i="3" s="1"/>
  <c r="G30" i="3" s="1"/>
  <c r="M15" i="3"/>
  <c r="F23" i="3" s="1"/>
  <c r="F31" i="3" s="1"/>
  <c r="H13" i="3"/>
  <c r="J12" i="3" s="1"/>
  <c r="E20" i="3" s="1"/>
  <c r="E28" i="3" s="1"/>
  <c r="E10" i="3"/>
  <c r="E12" i="3" s="1"/>
  <c r="E13" i="3" s="1"/>
  <c r="G13" i="3" s="1"/>
  <c r="D21" i="3" s="1"/>
  <c r="D29" i="3" s="1"/>
  <c r="A13" i="3"/>
  <c r="C14" i="3" s="1"/>
  <c r="C22" i="3" s="1"/>
  <c r="C30" i="3" s="1"/>
  <c r="F72" i="2"/>
  <c r="H72" i="2" s="1"/>
  <c r="J69" i="2"/>
  <c r="G68" i="2"/>
  <c r="H69" i="2" s="1"/>
  <c r="I69" i="2" s="1"/>
  <c r="F61" i="2"/>
  <c r="F57" i="2"/>
  <c r="F55" i="2"/>
  <c r="I53" i="2"/>
  <c r="I45" i="2"/>
  <c r="I37" i="2"/>
  <c r="G37" i="2"/>
  <c r="J37" i="2" s="1"/>
  <c r="G36" i="2"/>
  <c r="G39" i="2" s="1"/>
  <c r="F50" i="2"/>
  <c r="F48" i="2"/>
  <c r="F51" i="2" s="1"/>
  <c r="F45" i="2"/>
  <c r="F38" i="2"/>
  <c r="F39" i="2" s="1"/>
  <c r="B16" i="2"/>
  <c r="C16" i="2" s="1"/>
  <c r="D16" i="2" s="1"/>
  <c r="B18" i="2"/>
  <c r="C18" i="2" s="1"/>
  <c r="D18" i="2" s="1"/>
  <c r="C17" i="2"/>
  <c r="D17" i="2" s="1"/>
  <c r="D4" i="2"/>
  <c r="E4" i="2" s="1"/>
  <c r="F4" i="2" s="1"/>
  <c r="G4" i="2" s="1"/>
  <c r="D3" i="2"/>
  <c r="E3" i="2" s="1"/>
  <c r="F3" i="2" s="1"/>
  <c r="G3" i="2" s="1"/>
  <c r="X129" i="1"/>
  <c r="X131" i="1" s="1"/>
  <c r="X128" i="1"/>
  <c r="W131" i="1"/>
  <c r="W132" i="1" s="1"/>
  <c r="S130" i="1"/>
  <c r="R130" i="1"/>
  <c r="N142" i="1"/>
  <c r="O142" i="1" s="1"/>
  <c r="N140" i="1"/>
  <c r="F41" i="2" l="1"/>
  <c r="H41" i="2" s="1"/>
  <c r="M45" i="2"/>
  <c r="N45" i="2" s="1"/>
  <c r="O45" i="2" s="1"/>
  <c r="H39" i="2"/>
  <c r="J39" i="2"/>
  <c r="J53" i="2"/>
  <c r="G45" i="2"/>
  <c r="J38" i="2"/>
  <c r="F42" i="2"/>
  <c r="C15" i="3"/>
  <c r="C23" i="3" s="1"/>
  <c r="C31" i="3" s="1"/>
  <c r="B15" i="2"/>
  <c r="G11" i="3"/>
  <c r="D19" i="3" s="1"/>
  <c r="P11" i="3"/>
  <c r="G19" i="3" s="1"/>
  <c r="G27" i="3" s="1"/>
  <c r="S14" i="3"/>
  <c r="H22" i="3" s="1"/>
  <c r="H30" i="3" s="1"/>
  <c r="J7" i="3"/>
  <c r="K8" i="3" s="1"/>
  <c r="C11" i="3"/>
  <c r="C19" i="3" s="1"/>
  <c r="G14" i="3"/>
  <c r="D22" i="3" s="1"/>
  <c r="D30" i="3" s="1"/>
  <c r="P12" i="3"/>
  <c r="G20" i="3" s="1"/>
  <c r="G28" i="3" s="1"/>
  <c r="S15" i="3"/>
  <c r="H23" i="3" s="1"/>
  <c r="H31" i="3" s="1"/>
  <c r="C12" i="3"/>
  <c r="C20" i="3" s="1"/>
  <c r="C28" i="3" s="1"/>
  <c r="G15" i="3"/>
  <c r="D23" i="3" s="1"/>
  <c r="D31" i="3" s="1"/>
  <c r="P15" i="3"/>
  <c r="G23" i="3" s="1"/>
  <c r="J14" i="3"/>
  <c r="E22" i="3" s="1"/>
  <c r="E30" i="3" s="1"/>
  <c r="C13" i="3"/>
  <c r="C21" i="3" s="1"/>
  <c r="C29" i="3" s="1"/>
  <c r="G12" i="3"/>
  <c r="D20" i="3" s="1"/>
  <c r="D28" i="3" s="1"/>
  <c r="J11" i="3"/>
  <c r="E19" i="3" s="1"/>
  <c r="J15" i="3"/>
  <c r="E23" i="3" s="1"/>
  <c r="E31" i="3" s="1"/>
  <c r="M14" i="3"/>
  <c r="F22" i="3" s="1"/>
  <c r="F30" i="3" s="1"/>
  <c r="P13" i="3"/>
  <c r="G21" i="3" s="1"/>
  <c r="G29" i="3" s="1"/>
  <c r="S12" i="3"/>
  <c r="H20" i="3" s="1"/>
  <c r="H28" i="3" s="1"/>
  <c r="J13" i="3"/>
  <c r="E21" i="3" s="1"/>
  <c r="E29" i="3" s="1"/>
  <c r="M13" i="3"/>
  <c r="F21" i="3" s="1"/>
  <c r="F29" i="3" s="1"/>
  <c r="M11" i="3"/>
  <c r="F19" i="3" s="1"/>
  <c r="F27" i="3" s="1"/>
  <c r="F33" i="3" s="1"/>
  <c r="B19" i="2"/>
  <c r="B20" i="2" s="1"/>
  <c r="C20" i="2"/>
  <c r="D20" i="2" s="1"/>
  <c r="B21" i="2"/>
  <c r="J141" i="1"/>
  <c r="K139" i="1"/>
  <c r="H139" i="1"/>
  <c r="L132" i="1"/>
  <c r="M132" i="1" s="1"/>
  <c r="N132" i="1" s="1"/>
  <c r="P132" i="1" s="1"/>
  <c r="I136" i="1"/>
  <c r="J135" i="1"/>
  <c r="H135" i="1"/>
  <c r="H132" i="1"/>
  <c r="F132" i="1" s="1"/>
  <c r="I133" i="1"/>
  <c r="J132" i="1"/>
  <c r="P125" i="1"/>
  <c r="Q125" i="1" s="1"/>
  <c r="M127" i="1"/>
  <c r="M126" i="1"/>
  <c r="M125" i="1"/>
  <c r="M124" i="1"/>
  <c r="M123" i="1"/>
  <c r="H125" i="1"/>
  <c r="I125" i="1" s="1"/>
  <c r="J125" i="1" s="1"/>
  <c r="G127" i="1"/>
  <c r="H127" i="1" s="1"/>
  <c r="I127" i="1" s="1"/>
  <c r="J127" i="1" s="1"/>
  <c r="G126" i="1"/>
  <c r="P126" i="1" s="1"/>
  <c r="Q126" i="1" s="1"/>
  <c r="G125" i="1"/>
  <c r="G124" i="1"/>
  <c r="P124" i="1" s="1"/>
  <c r="Q124" i="1" s="1"/>
  <c r="G123" i="1"/>
  <c r="P123" i="1" s="1"/>
  <c r="S103" i="1"/>
  <c r="T103" i="1" s="1"/>
  <c r="T104" i="1" s="1"/>
  <c r="S100" i="1"/>
  <c r="S101" i="1" s="1"/>
  <c r="T101" i="1" s="1"/>
  <c r="U101" i="1" s="1"/>
  <c r="X114" i="1"/>
  <c r="Y114" i="1" s="1"/>
  <c r="Y113" i="1"/>
  <c r="Z113" i="1" s="1"/>
  <c r="V118" i="1"/>
  <c r="W118" i="1" s="1"/>
  <c r="X118" i="1" s="1"/>
  <c r="Z112" i="1"/>
  <c r="AA112" i="1" s="1"/>
  <c r="AB112" i="1" s="1"/>
  <c r="AD99" i="1"/>
  <c r="Y107" i="1"/>
  <c r="Z107" i="1" s="1"/>
  <c r="AB107" i="1" s="1"/>
  <c r="AC107" i="1" s="1"/>
  <c r="AC109" i="1" s="1"/>
  <c r="W103" i="1"/>
  <c r="W107" i="1"/>
  <c r="X110" i="1"/>
  <c r="Y110" i="1" s="1"/>
  <c r="Y109" i="1"/>
  <c r="Y108" i="1"/>
  <c r="X108" i="1"/>
  <c r="Q123" i="1" l="1"/>
  <c r="B14" i="2"/>
  <c r="C15" i="2"/>
  <c r="D15" i="2" s="1"/>
  <c r="H126" i="1"/>
  <c r="I126" i="1" s="1"/>
  <c r="H33" i="3"/>
  <c r="E27" i="3"/>
  <c r="E33" i="3" s="1"/>
  <c r="E25" i="3"/>
  <c r="G25" i="3"/>
  <c r="G31" i="3"/>
  <c r="P127" i="1"/>
  <c r="Q127" i="1" s="1"/>
  <c r="G33" i="3"/>
  <c r="H42" i="2"/>
  <c r="J41" i="2"/>
  <c r="L41" i="2" s="1"/>
  <c r="H25" i="3"/>
  <c r="H123" i="1"/>
  <c r="I123" i="1" s="1"/>
  <c r="H124" i="1"/>
  <c r="I124" i="1" s="1"/>
  <c r="C19" i="2"/>
  <c r="D19" i="2" s="1"/>
  <c r="C27" i="3"/>
  <c r="C33" i="3" s="1"/>
  <c r="C25" i="3"/>
  <c r="D27" i="3"/>
  <c r="D33" i="3" s="1"/>
  <c r="D25" i="3"/>
  <c r="F25" i="3"/>
  <c r="C21" i="2"/>
  <c r="D21" i="2" s="1"/>
  <c r="B22" i="2"/>
  <c r="AA118" i="1"/>
  <c r="AB118" i="1" s="1"/>
  <c r="AA117" i="1"/>
  <c r="AB117" i="1" s="1"/>
  <c r="AA115" i="1"/>
  <c r="R113" i="1"/>
  <c r="O113" i="1"/>
  <c r="R105" i="1"/>
  <c r="R109" i="1"/>
  <c r="N108" i="1"/>
  <c r="N107" i="1"/>
  <c r="N106" i="1"/>
  <c r="N105" i="1"/>
  <c r="N109" i="1" s="1"/>
  <c r="N104" i="1"/>
  <c r="U114" i="1"/>
  <c r="R114" i="1"/>
  <c r="S114" i="1" s="1"/>
  <c r="P114" i="1"/>
  <c r="P115" i="1" s="1"/>
  <c r="N114" i="1"/>
  <c r="Q118" i="1"/>
  <c r="S118" i="1" s="1"/>
  <c r="O118" i="1"/>
  <c r="L118" i="1"/>
  <c r="H109" i="1"/>
  <c r="I99" i="1"/>
  <c r="I100" i="1" s="1"/>
  <c r="I106" i="1" s="1"/>
  <c r="G99" i="1"/>
  <c r="G100" i="1" s="1"/>
  <c r="F99" i="1"/>
  <c r="F100" i="1" s="1"/>
  <c r="E99" i="1"/>
  <c r="E100" i="1" s="1"/>
  <c r="D99" i="1"/>
  <c r="D100" i="1" s="1"/>
  <c r="C99" i="1"/>
  <c r="C100" i="1" s="1"/>
  <c r="B99" i="1"/>
  <c r="B100" i="1" s="1"/>
  <c r="A64" i="1"/>
  <c r="A63" i="1"/>
  <c r="A62" i="1"/>
  <c r="C53" i="1"/>
  <c r="B53" i="1"/>
  <c r="A53" i="1"/>
  <c r="C52" i="1"/>
  <c r="B52" i="1"/>
  <c r="A52" i="1"/>
  <c r="C51" i="1"/>
  <c r="B51" i="1"/>
  <c r="A51" i="1"/>
  <c r="I58" i="1"/>
  <c r="E58" i="1"/>
  <c r="A58" i="1"/>
  <c r="I57" i="1"/>
  <c r="E57" i="1"/>
  <c r="A57" i="1"/>
  <c r="I56" i="1"/>
  <c r="E56" i="1"/>
  <c r="A56" i="1"/>
  <c r="A46" i="1"/>
  <c r="A45" i="1"/>
  <c r="A44" i="1"/>
  <c r="A40" i="1"/>
  <c r="A39" i="1"/>
  <c r="A38" i="1"/>
  <c r="J123" i="1" l="1"/>
  <c r="K123" i="1"/>
  <c r="C14" i="2"/>
  <c r="D14" i="2" s="1"/>
  <c r="B13" i="2"/>
  <c r="C13" i="2" s="1"/>
  <c r="D13" i="2" s="1"/>
  <c r="K124" i="1"/>
  <c r="J124" i="1"/>
  <c r="P129" i="1"/>
  <c r="J126" i="1"/>
  <c r="K126" i="1"/>
  <c r="Q129" i="1"/>
  <c r="B23" i="2"/>
  <c r="C22" i="2"/>
  <c r="D22" i="2" s="1"/>
  <c r="S115" i="1"/>
  <c r="W115" i="1" s="1"/>
  <c r="X115" i="1" s="1"/>
  <c r="T114" i="1"/>
  <c r="R121" i="1"/>
  <c r="K106" i="1"/>
  <c r="J106" i="1"/>
  <c r="S113" i="1"/>
  <c r="T113" i="1" s="1"/>
  <c r="C102" i="1"/>
  <c r="C104" i="1"/>
  <c r="C103" i="1"/>
  <c r="C106" i="1"/>
  <c r="C105" i="1"/>
  <c r="B103" i="1"/>
  <c r="B102" i="1"/>
  <c r="B104" i="1"/>
  <c r="B105" i="1"/>
  <c r="B106" i="1"/>
  <c r="D104" i="1"/>
  <c r="D103" i="1"/>
  <c r="D102" i="1"/>
  <c r="D105" i="1"/>
  <c r="D106" i="1"/>
  <c r="E102" i="1"/>
  <c r="E103" i="1"/>
  <c r="E104" i="1"/>
  <c r="E106" i="1"/>
  <c r="E105" i="1"/>
  <c r="F104" i="1"/>
  <c r="F105" i="1"/>
  <c r="F103" i="1"/>
  <c r="F106" i="1"/>
  <c r="F102" i="1"/>
  <c r="G104" i="1"/>
  <c r="G103" i="1"/>
  <c r="G102" i="1"/>
  <c r="G106" i="1"/>
  <c r="G105" i="1"/>
  <c r="I102" i="1"/>
  <c r="I103" i="1"/>
  <c r="I104" i="1"/>
  <c r="I105" i="1"/>
  <c r="AB115" i="1" l="1"/>
  <c r="AC115" i="1" s="1"/>
  <c r="J129" i="1"/>
  <c r="C23" i="2"/>
  <c r="D23" i="2" s="1"/>
  <c r="B24" i="2"/>
  <c r="K104" i="1"/>
  <c r="J104" i="1"/>
  <c r="B109" i="1"/>
  <c r="B113" i="1" s="1"/>
  <c r="B112" i="1"/>
  <c r="E114" i="1"/>
  <c r="K105" i="1"/>
  <c r="J105" i="1"/>
  <c r="J103" i="1"/>
  <c r="K103" i="1"/>
  <c r="J102" i="1"/>
  <c r="K102" i="1"/>
  <c r="I109" i="1"/>
  <c r="I115" i="1" s="1"/>
  <c r="F114" i="1"/>
  <c r="F113" i="1"/>
  <c r="D109" i="1"/>
  <c r="D115" i="1" s="1"/>
  <c r="G109" i="1"/>
  <c r="D112" i="1"/>
  <c r="D113" i="1"/>
  <c r="F109" i="1"/>
  <c r="F111" i="1" s="1"/>
  <c r="E109" i="1"/>
  <c r="E113" i="1" s="1"/>
  <c r="C109" i="1"/>
  <c r="C112" i="1" s="1"/>
  <c r="D111" i="1" l="1"/>
  <c r="F115" i="1"/>
  <c r="J107" i="1"/>
  <c r="K107" i="1" s="1"/>
  <c r="B111" i="1"/>
  <c r="J130" i="1"/>
  <c r="K135" i="1"/>
  <c r="L135" i="1" s="1"/>
  <c r="M135" i="1" s="1"/>
  <c r="J133" i="1"/>
  <c r="D114" i="1"/>
  <c r="E115" i="1"/>
  <c r="B25" i="2"/>
  <c r="C24" i="2"/>
  <c r="D24" i="2" s="1"/>
  <c r="C114" i="1"/>
  <c r="I111" i="1"/>
  <c r="B115" i="1"/>
  <c r="E112" i="1"/>
  <c r="B114" i="1"/>
  <c r="I113" i="1"/>
  <c r="E111" i="1"/>
  <c r="C111" i="1"/>
  <c r="F112" i="1"/>
  <c r="I112" i="1"/>
  <c r="C115" i="1"/>
  <c r="C113" i="1"/>
  <c r="I114" i="1"/>
  <c r="B26" i="2" l="1"/>
  <c r="C25" i="2"/>
  <c r="D25" i="2" s="1"/>
  <c r="B27" i="2" l="1"/>
  <c r="C26" i="2"/>
  <c r="D26" i="2" s="1"/>
  <c r="C27" i="2" l="1"/>
  <c r="D27" i="2" s="1"/>
  <c r="B28" i="2"/>
  <c r="B29" i="2" l="1"/>
  <c r="C28" i="2"/>
  <c r="D28" i="2" s="1"/>
  <c r="C29" i="2" l="1"/>
  <c r="D29" i="2" s="1"/>
  <c r="B30" i="2"/>
  <c r="B31" i="2" l="1"/>
  <c r="C30" i="2"/>
  <c r="D30" i="2" s="1"/>
  <c r="B32" i="2" l="1"/>
  <c r="C31" i="2"/>
  <c r="D31" i="2" s="1"/>
  <c r="C32" i="2" l="1"/>
  <c r="D32" i="2" s="1"/>
  <c r="B33" i="2"/>
  <c r="C33" i="2" l="1"/>
  <c r="D33" i="2" s="1"/>
  <c r="B34" i="2"/>
  <c r="B35" i="2" l="1"/>
  <c r="C34" i="2"/>
  <c r="D34" i="2" s="1"/>
  <c r="B36" i="2" l="1"/>
  <c r="C35" i="2"/>
  <c r="D35" i="2" s="1"/>
  <c r="B37" i="2" l="1"/>
  <c r="C36" i="2"/>
  <c r="D36" i="2" s="1"/>
  <c r="C37" i="2" l="1"/>
  <c r="D37" i="2" s="1"/>
  <c r="B38" i="2"/>
  <c r="B39" i="2" l="1"/>
  <c r="C38" i="2"/>
  <c r="D38" i="2" s="1"/>
  <c r="C39" i="2" l="1"/>
  <c r="D39" i="2" s="1"/>
  <c r="B40" i="2"/>
  <c r="B41" i="2" l="1"/>
  <c r="C40" i="2"/>
  <c r="D40" i="2" s="1"/>
  <c r="B42" i="2" l="1"/>
  <c r="C41" i="2"/>
  <c r="D41" i="2" s="1"/>
  <c r="B43" i="2" l="1"/>
  <c r="C42" i="2"/>
  <c r="D42" i="2" s="1"/>
  <c r="C43" i="2" l="1"/>
  <c r="D43" i="2" s="1"/>
  <c r="B44" i="2"/>
  <c r="C44" i="2" l="1"/>
  <c r="D44" i="2" s="1"/>
  <c r="B45" i="2"/>
  <c r="B46" i="2" l="1"/>
  <c r="C45" i="2"/>
  <c r="D45" i="2" s="1"/>
  <c r="C46" i="2" l="1"/>
  <c r="D46" i="2" s="1"/>
  <c r="B47" i="2"/>
  <c r="C47" i="2" l="1"/>
  <c r="D47" i="2" s="1"/>
  <c r="B48" i="2"/>
  <c r="C48" i="2" l="1"/>
  <c r="D48" i="2" s="1"/>
  <c r="B49" i="2"/>
  <c r="B50" i="2" l="1"/>
  <c r="C49" i="2"/>
  <c r="D49" i="2" s="1"/>
  <c r="C50" i="2" l="1"/>
  <c r="D50" i="2" s="1"/>
  <c r="B51" i="2"/>
  <c r="C51" i="2" l="1"/>
  <c r="D51" i="2" s="1"/>
  <c r="B52" i="2"/>
  <c r="B53" i="2" l="1"/>
  <c r="C52" i="2"/>
  <c r="D52" i="2" s="1"/>
  <c r="C53" i="2" l="1"/>
  <c r="D53" i="2" s="1"/>
  <c r="B54" i="2"/>
  <c r="C54" i="2" l="1"/>
  <c r="D54" i="2" s="1"/>
  <c r="B55" i="2"/>
  <c r="C55" i="2" l="1"/>
  <c r="D55" i="2" s="1"/>
  <c r="B56" i="2"/>
  <c r="C56" i="2" l="1"/>
  <c r="D56" i="2" s="1"/>
  <c r="B57" i="2"/>
  <c r="C57" i="2" l="1"/>
  <c r="D57" i="2" s="1"/>
  <c r="B58" i="2"/>
  <c r="C58" i="2" s="1"/>
  <c r="D58" i="2" s="1"/>
</calcChain>
</file>

<file path=xl/sharedStrings.xml><?xml version="1.0" encoding="utf-8"?>
<sst xmlns="http://schemas.openxmlformats.org/spreadsheetml/2006/main" count="120" uniqueCount="98">
  <si>
    <t>Рабочая таблица с данными:</t>
  </si>
  <si>
    <t>Комнаты</t>
  </si>
  <si>
    <t>Площадь</t>
  </si>
  <si>
    <t>Этаж</t>
  </si>
  <si>
    <t>Центр</t>
  </si>
  <si>
    <t>Спальный 1</t>
  </si>
  <si>
    <t>Спальный 2</t>
  </si>
  <si>
    <t>Цена</t>
  </si>
  <si>
    <t>матрица X</t>
  </si>
  <si>
    <t>Y</t>
  </si>
  <si>
    <t>Задание 1. Ассоциативность умножения матриц</t>
  </si>
  <si>
    <t>Пусть X  — это матрица признаков. Её размерность: 3 строки Х 3 столбца. Возьмем 3 первые квартиры и 3 признака: «Комнаты», «Площадь» и «Этаж».</t>
  </si>
  <si>
    <t>Пусть Y — это вектор-столбец цен для этих трех квартир. Его размерность: 3 строки Х 1 столбец.</t>
  </si>
  <si>
    <t>в регрессии часто встречаются выражения такого вида.</t>
  </si>
  <si>
    <t>Цель научиться с ними работать.</t>
  </si>
  <si>
    <t>Задача:</t>
  </si>
  <si>
    <t>1. Вычислите результат умножения</t>
  </si>
  <si>
    <t>Способ 1</t>
  </si>
  <si>
    <t>(u - для промежуточных вычислений)</t>
  </si>
  <si>
    <t>Способ 1 (скобки справа): сначала вычислите </t>
  </si>
  <si>
    <t>затем</t>
  </si>
  <si>
    <t>Способ 2 (скобки слева): сначала вычислите</t>
  </si>
  <si>
    <t>(M - для промежуточных вычислений)</t>
  </si>
  <si>
    <t>2. Выполните вычисления двумя способами и сравните количество скалярных операций (умножений и сложений):</t>
  </si>
  <si>
    <t>3. Сравните количество скалярных операций в каждом способе.</t>
  </si>
  <si>
    <t>4. Сделайте вывод: почему в задачах анализа данных важно выбирать порядок вычислений, если матрицы могут быть очень большими?</t>
  </si>
  <si>
    <t>Решение:</t>
  </si>
  <si>
    <t>Вычислим u, произведение матрицы Х размером 3 строки на 3 столбца и вектора столбца Y. В результате получим вектор столбец u размером 3х1</t>
  </si>
  <si>
    <t>u</t>
  </si>
  <si>
    <t>Для первого элемента перемножим элементы строк левой матрицы с соответствующими элементами столбца правой матрицы.</t>
  </si>
  <si>
    <t xml:space="preserve">  =3*2200 + 51*1600 + 3 * 1900</t>
  </si>
  <si>
    <t xml:space="preserve">  =1*2200 + 30*1600 + 1 * 1900</t>
  </si>
  <si>
    <t xml:space="preserve">  =2*2200 + 45*1600 + 2 * 1900</t>
  </si>
  <si>
    <t>Найдём произведение транспонированной матрицы Х слева на получившийся вектор u.</t>
  </si>
  <si>
    <t xml:space="preserve">   =3*93900 + 1*52100 + 2*80200</t>
  </si>
  <si>
    <t xml:space="preserve">   =51*93900 + 30*52100 + 45*80200</t>
  </si>
  <si>
    <t>Итого еще 15 операций или всего 30 операций.</t>
  </si>
  <si>
    <t>Способ 2</t>
  </si>
  <si>
    <t>I столбец</t>
  </si>
  <si>
    <t>II столбец</t>
  </si>
  <si>
    <t xml:space="preserve">   =3*51 + 1*30 + 2*45</t>
  </si>
  <si>
    <t xml:space="preserve">   =51*51 + 30*30 + 45*45</t>
  </si>
  <si>
    <t>III столбец</t>
  </si>
  <si>
    <t>матрица М</t>
  </si>
  <si>
    <t>Найдём матрицу М, произведение транспонированой матрицы X (3*3) и Х (3*3), в резульате получим матрицу размера 3 на 3.</t>
  </si>
  <si>
    <t>Первый столбец матрицы М получаем так же как и при умножении на первый вектор столбец, а второй и третий умножением на соответствующие столбцы.</t>
  </si>
  <si>
    <t xml:space="preserve">   =3*3 + 1*1 + 2*2</t>
  </si>
  <si>
    <t xml:space="preserve">   =51*3 + 30*1 + 45*2</t>
  </si>
  <si>
    <t xml:space="preserve">   =3*3 + 1*1 + 2*</t>
  </si>
  <si>
    <t>Итого 15 операций на столбец, всего 45 операций.</t>
  </si>
  <si>
    <t>Итого в каждой строке у нас 3 умножения и 2 сложения, 5 операций на строку, 15 на весь вектор.</t>
  </si>
  <si>
    <t>Найдём произведение матрицы М и вектора-столбца Y.</t>
  </si>
  <si>
    <t xml:space="preserve">   =273*2200 + 5526*1600 + 273*1900</t>
  </si>
  <si>
    <t xml:space="preserve">   = 14*2200 + 273*1600 + 14*1900</t>
  </si>
  <si>
    <t>Итого 15 операций. Всего 60 операций (15+45).</t>
  </si>
  <si>
    <t>Первый и второй спсоб перемножения дают нам один и тот же ветор столбец.</t>
  </si>
  <si>
    <t>В первом способе нам потребовалось 30 операций, а во втором 60.</t>
  </si>
  <si>
    <t>Ответ:</t>
  </si>
  <si>
    <t>Вывод: для задач по анализу данных следует выбирать порядок умножения матриц с меньшими размерностями справа,</t>
  </si>
  <si>
    <t>тогда нам понадобится меньше операций для вычисления, что может быть существенным при матрицах большого размера.</t>
  </si>
  <si>
    <t>Задание 2. Связь признаков с ценой</t>
  </si>
  <si>
    <t>2. Для каждого признака вычислите коэффициент корреляции с ценой.</t>
  </si>
  <si>
    <t>3. Определите признак с наибольшей и наименьшей связью.</t>
  </si>
  <si>
    <t>4. Объясните, почему выделение таких признаков важно для предсказательной модели.</t>
  </si>
  <si>
    <t>5. Для бинарных признаков дайте содержательную интерпретацию: что означает положительный или отрицательный знак корреляции?</t>
  </si>
  <si>
    <t>Дополнительное задание*</t>
  </si>
  <si>
    <t>Для одного из бинарных признаков проверьте свой вывод: сравните среднюю цену для квартир, где признак равен 1, и для квартир, где признак равен 0.</t>
  </si>
  <si>
    <t>1. Составьте матрицу признаков X и вектор цен Y.</t>
  </si>
  <si>
    <t>1.</t>
  </si>
  <si>
    <t>Матрица признаков Х (5х6)</t>
  </si>
  <si>
    <t>Вектор цен Y (5х1)</t>
  </si>
  <si>
    <t>Для вас результат — это цена квартиры, а признаки — её характеристики (площадь, этаж, район и так далее).</t>
  </si>
  <si>
    <t>Для числовых признаков (как «Площадь», «Комнаты», «Этаж») корреляция Пирсона измеряет силу линейной зависимости с ценой.</t>
  </si>
  <si>
    <t>Для бинарных признаков (как «Центр», «Спальный 1», «Спальный 2») коэффициент корреляции Пирсона вычисляется точно по той же формуле, но в статистике такой случай имеет специальное название — точечно-бисериальная корреляция. Она показывает, насколько наличие характеристики (значение 1) связано с изменением среднего значения цены по сравнению с её отсутствием (значение 0).</t>
  </si>
  <si>
    <t>2. Вычислить коэфициент корреляции:</t>
  </si>
  <si>
    <t>Произведём центрирование вектора (приведём среднее к нулю).</t>
  </si>
  <si>
    <t>Сумма</t>
  </si>
  <si>
    <t>Среднее</t>
  </si>
  <si>
    <t>Центрированные вектора матрицы признаков Х:</t>
  </si>
  <si>
    <t>Сумма всех всех векторов столбцов равна нулю.</t>
  </si>
  <si>
    <t>Длина вектора:</t>
  </si>
  <si>
    <t>Стандартизированные:</t>
  </si>
  <si>
    <t>\displaystyle \frac{2 \sqrt{2255}}{5}</t>
  </si>
  <si>
    <t>(29/5, -76/5, -1/5, 49/5, -1/5)</t>
  </si>
  <si>
    <t>90-14</t>
  </si>
  <si>
    <t>90+14</t>
  </si>
  <si>
    <t>=2^4*3*5</t>
  </si>
  <si>
    <t>=7*5*3*2^3</t>
  </si>
  <si>
    <t>=5*3^3*2^2</t>
  </si>
  <si>
    <t>=11*5*2^3</t>
  </si>
  <si>
    <t>=103*5*2^2</t>
  </si>
  <si>
    <t>меньше половины</t>
  </si>
  <si>
    <t>x_1</t>
  </si>
  <si>
    <t>x_2</t>
  </si>
  <si>
    <t>x_3</t>
  </si>
  <si>
    <t>x_4</t>
  </si>
  <si>
    <t>x_5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</si>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</sst>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0"/>
    <numFmt numFmtId="166" formatCode="0.00000"/>
  </numFmts>
  <fonts count="10" x14ac:knownFonts="1">
    <font>
      <sz val="11"/>
      <color theme="1"/>
      <name val="Aptos Narrow"/>
      <family val="2"/>
      <charset val="204"/>
      <scheme val="minor"/>
    </font>
    <font>
      <b/>
      <sz val="7"/>
      <color rgb="FF7B7A7D"/>
      <name val="Arial"/>
      <family val="2"/>
      <charset val="204"/>
    </font>
    <font>
      <sz val="7"/>
      <color rgb="FF181818"/>
      <name val="Arial"/>
      <family val="2"/>
      <charset val="204"/>
    </font>
    <font>
      <b/>
      <sz val="18"/>
      <color rgb="FF181818"/>
      <name val="Arial"/>
      <family val="2"/>
      <charset val="204"/>
    </font>
    <font>
      <b/>
      <sz val="11"/>
      <color rgb="FF313131"/>
      <name val="Arial"/>
      <family val="2"/>
      <charset val="204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9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0" borderId="2" xfId="0" applyBorder="1"/>
    <xf numFmtId="0" fontId="0" fillId="0" borderId="0" xfId="0" quotePrefix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3" fontId="0" fillId="0" borderId="2" xfId="0" applyNumberFormat="1" applyBorder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/>
    </xf>
    <xf numFmtId="12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4" fontId="5" fillId="0" borderId="0" xfId="0" applyNumberFormat="1" applyFont="1"/>
    <xf numFmtId="164" fontId="0" fillId="0" borderId="2" xfId="0" applyNumberFormat="1" applyBorder="1"/>
    <xf numFmtId="165" fontId="0" fillId="0" borderId="0" xfId="0" applyNumberFormat="1"/>
    <xf numFmtId="0" fontId="0" fillId="6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C79018-182E-4F9A-AB42-D02B8D9086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12</xdr:row>
      <xdr:rowOff>171450</xdr:rowOff>
    </xdr:from>
    <xdr:ext cx="914400" cy="228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8400467-AA35-4ED0-531F-E66560360E14}"/>
                </a:ext>
              </a:extLst>
            </xdr:cNvPr>
            <xdr:cNvSpPr txBox="1"/>
          </xdr:nvSpPr>
          <xdr:spPr>
            <a:xfrm>
              <a:off x="25400" y="253365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8400467-AA35-4ED0-531F-E66560360E14}"/>
                </a:ext>
              </a:extLst>
            </xdr:cNvPr>
            <xdr:cNvSpPr txBox="1"/>
          </xdr:nvSpPr>
          <xdr:spPr>
            <a:xfrm>
              <a:off x="25400" y="253365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〖(𝑋〗^𝑇 〖𝑋)〗^(-1) 𝑋^𝑇 𝑌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3</xdr:col>
      <xdr:colOff>374650</xdr:colOff>
      <xdr:row>22</xdr:row>
      <xdr:rowOff>158750</xdr:rowOff>
    </xdr:from>
    <xdr:ext cx="914400" cy="228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2CF1713-DFB7-4255-8FE2-A3E78F68DED1}"/>
                </a:ext>
              </a:extLst>
            </xdr:cNvPr>
            <xdr:cNvSpPr txBox="1"/>
          </xdr:nvSpPr>
          <xdr:spPr>
            <a:xfrm>
              <a:off x="2203450" y="438785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𝑋𝑌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2CF1713-DFB7-4255-8FE2-A3E78F68DED1}"/>
                </a:ext>
              </a:extLst>
            </xdr:cNvPr>
            <xdr:cNvSpPr txBox="1"/>
          </xdr:nvSpPr>
          <xdr:spPr>
            <a:xfrm>
              <a:off x="2203450" y="438785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 (𝑋𝑌)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4</xdr:col>
      <xdr:colOff>514350</xdr:colOff>
      <xdr:row>24</xdr:row>
      <xdr:rowOff>177800</xdr:rowOff>
    </xdr:from>
    <xdr:ext cx="654050" cy="228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D94C11C-953D-43E9-AE20-FE03D7779209}"/>
                </a:ext>
              </a:extLst>
            </xdr:cNvPr>
            <xdr:cNvSpPr txBox="1"/>
          </xdr:nvSpPr>
          <xdr:spPr>
            <a:xfrm>
              <a:off x="2952750" y="4775200"/>
              <a:ext cx="65405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𝑋𝑌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D94C11C-953D-43E9-AE20-FE03D7779209}"/>
                </a:ext>
              </a:extLst>
            </xdr:cNvPr>
            <xdr:cNvSpPr txBox="1"/>
          </xdr:nvSpPr>
          <xdr:spPr>
            <a:xfrm>
              <a:off x="2952750" y="4775200"/>
              <a:ext cx="65405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𝑢=𝑋𝑌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546100" cy="228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1697A4-0820-4756-BB0D-B429DB1B3213}"/>
                </a:ext>
              </a:extLst>
            </xdr:cNvPr>
            <xdr:cNvSpPr txBox="1"/>
          </xdr:nvSpPr>
          <xdr:spPr>
            <a:xfrm>
              <a:off x="4267200" y="4597400"/>
              <a:ext cx="5461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𝑢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1697A4-0820-4756-BB0D-B429DB1B3213}"/>
                </a:ext>
              </a:extLst>
            </xdr:cNvPr>
            <xdr:cNvSpPr txBox="1"/>
          </xdr:nvSpPr>
          <xdr:spPr>
            <a:xfrm>
              <a:off x="4267200" y="4597400"/>
              <a:ext cx="5461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 𝑢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4</xdr:col>
      <xdr:colOff>355600</xdr:colOff>
      <xdr:row>26</xdr:row>
      <xdr:rowOff>171450</xdr:rowOff>
    </xdr:from>
    <xdr:ext cx="914400" cy="228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D2F4610-F0E0-47F6-A508-519D21153AE4}"/>
                </a:ext>
              </a:extLst>
            </xdr:cNvPr>
            <xdr:cNvSpPr txBox="1"/>
          </xdr:nvSpPr>
          <xdr:spPr>
            <a:xfrm>
              <a:off x="2794000" y="495300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D2F4610-F0E0-47F6-A508-519D21153AE4}"/>
                </a:ext>
              </a:extLst>
            </xdr:cNvPr>
            <xdr:cNvSpPr txBox="1"/>
          </xdr:nvSpPr>
          <xdr:spPr>
            <a:xfrm>
              <a:off x="2794000" y="4953000"/>
              <a:ext cx="9144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〖𝑀=𝑋〗^𝑇 𝑋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546100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027BFC-1B2D-46A7-9555-2F986939B01C}"/>
                </a:ext>
              </a:extLst>
            </xdr:cNvPr>
            <xdr:cNvSpPr txBox="1"/>
          </xdr:nvSpPr>
          <xdr:spPr>
            <a:xfrm>
              <a:off x="4267200" y="4965700"/>
              <a:ext cx="54610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𝑀𝑌</m:t>
                    </m:r>
                  </m:oMath>
                </m:oMathPara>
              </a14:m>
              <a:endParaRPr lang="ru-RU" sz="14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027BFC-1B2D-46A7-9555-2F986939B01C}"/>
                </a:ext>
              </a:extLst>
            </xdr:cNvPr>
            <xdr:cNvSpPr txBox="1"/>
          </xdr:nvSpPr>
          <xdr:spPr>
            <a:xfrm>
              <a:off x="4267200" y="4965700"/>
              <a:ext cx="54610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𝑀𝑌</a:t>
              </a:r>
              <a:endParaRPr lang="ru-RU" sz="14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6</xdr:col>
      <xdr:colOff>0</xdr:colOff>
      <xdr:row>41</xdr:row>
      <xdr:rowOff>177800</xdr:rowOff>
    </xdr:from>
    <xdr:ext cx="5461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EBDDCD-49AC-41F0-A3DC-FE5DEC2A6909}"/>
                </a:ext>
              </a:extLst>
            </xdr:cNvPr>
            <xdr:cNvSpPr txBox="1"/>
          </xdr:nvSpPr>
          <xdr:spPr>
            <a:xfrm>
              <a:off x="3657600" y="7721600"/>
              <a:ext cx="54610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EBDDCD-49AC-41F0-A3DC-FE5DEC2A6909}"/>
                </a:ext>
              </a:extLst>
            </xdr:cNvPr>
            <xdr:cNvSpPr txBox="1"/>
          </xdr:nvSpPr>
          <xdr:spPr>
            <a:xfrm>
              <a:off x="3657600" y="7721600"/>
              <a:ext cx="54610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165100</xdr:rowOff>
    </xdr:from>
    <xdr:ext cx="546100" cy="177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9AB13D0-6506-4F43-8CF0-43A9EEFFAEE7}"/>
                </a:ext>
              </a:extLst>
            </xdr:cNvPr>
            <xdr:cNvSpPr txBox="1"/>
          </xdr:nvSpPr>
          <xdr:spPr>
            <a:xfrm>
              <a:off x="0" y="7912100"/>
              <a:ext cx="5461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𝑢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9AB13D0-6506-4F43-8CF0-43A9EEFFAEE7}"/>
                </a:ext>
              </a:extLst>
            </xdr:cNvPr>
            <xdr:cNvSpPr txBox="1"/>
          </xdr:nvSpPr>
          <xdr:spPr>
            <a:xfrm>
              <a:off x="0" y="7912100"/>
              <a:ext cx="5461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 𝑢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6</xdr:col>
      <xdr:colOff>38100</xdr:colOff>
      <xdr:row>49</xdr:row>
      <xdr:rowOff>0</xdr:rowOff>
    </xdr:from>
    <xdr:ext cx="5461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2469E80-EE38-40D0-97C1-8E191903BCFC}"/>
                </a:ext>
              </a:extLst>
            </xdr:cNvPr>
            <xdr:cNvSpPr txBox="1"/>
          </xdr:nvSpPr>
          <xdr:spPr>
            <a:xfrm>
              <a:off x="3695700" y="9378950"/>
              <a:ext cx="54610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2469E80-EE38-40D0-97C1-8E191903BCFC}"/>
                </a:ext>
              </a:extLst>
            </xdr:cNvPr>
            <xdr:cNvSpPr txBox="1"/>
          </xdr:nvSpPr>
          <xdr:spPr>
            <a:xfrm>
              <a:off x="3695700" y="9378950"/>
              <a:ext cx="54610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152400</xdr:rowOff>
    </xdr:from>
    <xdr:ext cx="546100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98D7CFC-6357-4444-BDEE-E92CDDAADF98}"/>
                </a:ext>
              </a:extLst>
            </xdr:cNvPr>
            <xdr:cNvSpPr txBox="1"/>
          </xdr:nvSpPr>
          <xdr:spPr>
            <a:xfrm>
              <a:off x="0" y="11214100"/>
              <a:ext cx="54610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𝑀𝑌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98D7CFC-6357-4444-BDEE-E92CDDAADF98}"/>
                </a:ext>
              </a:extLst>
            </xdr:cNvPr>
            <xdr:cNvSpPr txBox="1"/>
          </xdr:nvSpPr>
          <xdr:spPr>
            <a:xfrm>
              <a:off x="0" y="11214100"/>
              <a:ext cx="54610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𝑀𝑌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0</xdr:col>
      <xdr:colOff>6350</xdr:colOff>
      <xdr:row>66</xdr:row>
      <xdr:rowOff>165100</xdr:rowOff>
    </xdr:from>
    <xdr:ext cx="5969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796E3DF-3E14-477F-B537-623C4A2CD5D8}"/>
                </a:ext>
              </a:extLst>
            </xdr:cNvPr>
            <xdr:cNvSpPr txBox="1"/>
          </xdr:nvSpPr>
          <xdr:spPr>
            <a:xfrm>
              <a:off x="6350" y="12515850"/>
              <a:ext cx="5969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𝑋𝑌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400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796E3DF-3E14-477F-B537-623C4A2CD5D8}"/>
                </a:ext>
              </a:extLst>
            </xdr:cNvPr>
            <xdr:cNvSpPr txBox="1"/>
          </xdr:nvSpPr>
          <xdr:spPr>
            <a:xfrm>
              <a:off x="6350" y="12515850"/>
              <a:ext cx="5969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𝑋^𝑇 (𝑋𝑌)</a:t>
              </a:r>
              <a:endParaRPr lang="ru-RU" sz="1400" i="1"/>
            </a:p>
          </xdr:txBody>
        </xdr:sp>
      </mc:Fallback>
    </mc:AlternateContent>
    <xdr:clientData/>
  </xdr:oneCellAnchor>
  <xdr:oneCellAnchor>
    <xdr:from>
      <xdr:col>6</xdr:col>
      <xdr:colOff>473075</xdr:colOff>
      <xdr:row>96</xdr:row>
      <xdr:rowOff>95250</xdr:rowOff>
    </xdr:from>
    <xdr:ext cx="14313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C0EE2E3-CF88-D88F-B3A1-2DD79E8163BD}"/>
                </a:ext>
              </a:extLst>
            </xdr:cNvPr>
            <xdr:cNvSpPr txBox="1"/>
          </xdr:nvSpPr>
          <xdr:spPr>
            <a:xfrm>
              <a:off x="4130675" y="18078450"/>
              <a:ext cx="14313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⃗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𝑐𝑒𝑛𝑡</m:t>
                            </m:r>
                          </m:sub>
                        </m:sSub>
                      </m:e>
                    </m:acc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⃗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⃗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𝑚𝑒𝑎𝑛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ru-RU" sz="105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C0EE2E3-CF88-D88F-B3A1-2DD79E8163BD}"/>
                </a:ext>
              </a:extLst>
            </xdr:cNvPr>
            <xdr:cNvSpPr txBox="1"/>
          </xdr:nvSpPr>
          <xdr:spPr>
            <a:xfrm>
              <a:off x="4130675" y="18078450"/>
              <a:ext cx="14313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(𝑥_𝑐𝑒𝑛𝑡 ) ⃗=𝑥 ⃗−(𝑥_𝑚𝑒𝑎𝑛 ) ⃗</a:t>
              </a:r>
              <a:endParaRPr lang="ru-RU" sz="1050"/>
            </a:p>
          </xdr:txBody>
        </xdr:sp>
      </mc:Fallback>
    </mc:AlternateContent>
    <xdr:clientData/>
  </xdr:oneCellAnchor>
  <xdr:oneCellAnchor>
    <xdr:from>
      <xdr:col>9</xdr:col>
      <xdr:colOff>161925</xdr:colOff>
      <xdr:row>107</xdr:row>
      <xdr:rowOff>50800</xdr:rowOff>
    </xdr:from>
    <xdr:ext cx="991875" cy="461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4952B23-4812-5187-8264-CB0CA21F288A}"/>
                </a:ext>
              </a:extLst>
            </xdr:cNvPr>
            <xdr:cNvSpPr txBox="1"/>
          </xdr:nvSpPr>
          <xdr:spPr>
            <a:xfrm>
              <a:off x="5648325" y="19875500"/>
              <a:ext cx="991875" cy="461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⃗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400" i="1">
                                <a:latin typeface="Cambria Math" panose="02040503050406030204" pitchFamily="18" charset="0"/>
                              </a:rPr>
                              <m:t>𝑠𝑡</m:t>
                            </m:r>
                          </m:sub>
                        </m:sSub>
                      </m:e>
                    </m:acc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⃗"/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i="1">
                                    <a:latin typeface="Cambria Math" panose="02040503050406030204" pitchFamily="18" charset="0"/>
                                  </a:rPr>
                                  <m:t>𝑐𝑒𝑛𝑡</m:t>
                                </m:r>
                              </m:sub>
                            </m:sSub>
                          </m:e>
                        </m:acc>
                      </m:num>
                      <m:den>
                        <m:r>
                          <m:rPr>
                            <m:lit/>
                          </m:rPr>
                          <a:rPr lang="en-US" sz="1400" i="1">
                            <a:latin typeface="Cambria Math" panose="02040503050406030204" pitchFamily="18" charset="0"/>
                          </a:rPr>
                          <m:t>|</m:t>
                        </m:r>
                        <m:acc>
                          <m:accPr>
                            <m:chr m:val="⃗"/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i="1">
                                    <a:latin typeface="Cambria Math" panose="02040503050406030204" pitchFamily="18" charset="0"/>
                                  </a:rPr>
                                  <m:t>𝑐𝑒𝑛𝑡</m:t>
                                </m:r>
                              </m:sub>
                            </m:sSub>
                          </m:e>
                        </m:acc>
                        <m:r>
                          <m:rPr>
                            <m:lit/>
                          </m:rPr>
                          <a:rPr lang="en-US" sz="1400" i="1">
                            <a:latin typeface="Cambria Math" panose="02040503050406030204" pitchFamily="18" charset="0"/>
                          </a:rPr>
                          <m:t>|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4952B23-4812-5187-8264-CB0CA21F288A}"/>
                </a:ext>
              </a:extLst>
            </xdr:cNvPr>
            <xdr:cNvSpPr txBox="1"/>
          </xdr:nvSpPr>
          <xdr:spPr>
            <a:xfrm>
              <a:off x="5648325" y="19875500"/>
              <a:ext cx="991875" cy="461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(𝑥_𝑠𝑡 ) ⃗=(𝑥_𝑐𝑒𝑛𝑡 ) ⃗/(\|(𝑥_𝑐𝑒𝑛𝑡 ) ⃗\|)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5A48-0D57-45D1-AF67-58628EB4925B}">
  <sheetPr>
    <pageSetUpPr autoPageBreaks="0"/>
  </sheetPr>
  <dimension ref="A1:AD156"/>
  <sheetViews>
    <sheetView topLeftCell="A82" workbookViewId="0">
      <selection activeCell="G156" sqref="G156"/>
    </sheetView>
  </sheetViews>
  <sheetFormatPr defaultRowHeight="15" x14ac:dyDescent="0.25"/>
  <cols>
    <col min="25" max="25" width="12.7109375" customWidth="1"/>
  </cols>
  <sheetData>
    <row r="1" spans="1:7" ht="15.75" thickBot="1" x14ac:dyDescent="0.3">
      <c r="A1" s="5" t="s">
        <v>0</v>
      </c>
    </row>
    <row r="2" spans="1:7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 thickBot="1" x14ac:dyDescent="0.3">
      <c r="A3" s="2">
        <v>3</v>
      </c>
      <c r="B3" s="2">
        <v>51</v>
      </c>
      <c r="C3" s="2">
        <v>3</v>
      </c>
      <c r="D3" s="2">
        <v>0</v>
      </c>
      <c r="E3" s="2">
        <v>1</v>
      </c>
      <c r="F3" s="2">
        <v>0</v>
      </c>
      <c r="G3" s="2">
        <v>2200</v>
      </c>
    </row>
    <row r="4" spans="1:7" ht="15.75" thickBot="1" x14ac:dyDescent="0.3">
      <c r="A4" s="3">
        <v>1</v>
      </c>
      <c r="B4" s="3">
        <v>30</v>
      </c>
      <c r="C4" s="3">
        <v>1</v>
      </c>
      <c r="D4" s="3">
        <v>0</v>
      </c>
      <c r="E4" s="3">
        <v>1</v>
      </c>
      <c r="F4" s="3">
        <v>0</v>
      </c>
      <c r="G4" s="3">
        <v>1600</v>
      </c>
    </row>
    <row r="5" spans="1:7" ht="15.75" thickBot="1" x14ac:dyDescent="0.3">
      <c r="A5" s="3">
        <v>2</v>
      </c>
      <c r="B5" s="3">
        <v>45</v>
      </c>
      <c r="C5" s="3">
        <v>2</v>
      </c>
      <c r="D5" s="3">
        <v>0</v>
      </c>
      <c r="E5" s="3">
        <v>1</v>
      </c>
      <c r="F5" s="3">
        <v>0</v>
      </c>
      <c r="G5" s="3">
        <v>1900</v>
      </c>
    </row>
    <row r="6" spans="1:7" ht="15.75" thickBot="1" x14ac:dyDescent="0.3">
      <c r="A6" s="3">
        <v>3</v>
      </c>
      <c r="B6" s="3">
        <v>55</v>
      </c>
      <c r="C6" s="3">
        <v>1</v>
      </c>
      <c r="D6" s="3">
        <v>0</v>
      </c>
      <c r="E6" s="3">
        <v>1</v>
      </c>
      <c r="F6" s="3">
        <v>0</v>
      </c>
      <c r="G6" s="3">
        <v>2000</v>
      </c>
    </row>
    <row r="7" spans="1:7" ht="15.75" thickBot="1" x14ac:dyDescent="0.3">
      <c r="A7" s="3">
        <v>1</v>
      </c>
      <c r="B7" s="3">
        <v>45</v>
      </c>
      <c r="C7" s="3">
        <v>3</v>
      </c>
      <c r="D7" s="3">
        <v>1</v>
      </c>
      <c r="E7" s="3">
        <v>0</v>
      </c>
      <c r="F7" s="3">
        <v>0</v>
      </c>
      <c r="G7" s="3">
        <v>4500</v>
      </c>
    </row>
    <row r="9" spans="1:7" ht="23.25" x14ac:dyDescent="0.35">
      <c r="A9" s="4" t="s">
        <v>10</v>
      </c>
    </row>
    <row r="11" spans="1:7" x14ac:dyDescent="0.25">
      <c r="A11" t="s">
        <v>11</v>
      </c>
    </row>
    <row r="12" spans="1:7" x14ac:dyDescent="0.25">
      <c r="A12" t="s">
        <v>12</v>
      </c>
    </row>
    <row r="14" spans="1:7" x14ac:dyDescent="0.25">
      <c r="C14" t="s">
        <v>13</v>
      </c>
    </row>
    <row r="15" spans="1:7" x14ac:dyDescent="0.25">
      <c r="C15" t="s">
        <v>14</v>
      </c>
    </row>
    <row r="17" spans="1:7" ht="15.75" thickBot="1" x14ac:dyDescent="0.3">
      <c r="A17" t="s">
        <v>8</v>
      </c>
      <c r="E17" t="s">
        <v>9</v>
      </c>
    </row>
    <row r="18" spans="1:7" ht="15.75" thickBot="1" x14ac:dyDescent="0.3">
      <c r="A18" s="2">
        <v>3</v>
      </c>
      <c r="B18" s="2">
        <v>51</v>
      </c>
      <c r="C18" s="2">
        <v>3</v>
      </c>
      <c r="E18" s="2">
        <v>2200</v>
      </c>
    </row>
    <row r="19" spans="1:7" ht="15.75" thickBot="1" x14ac:dyDescent="0.3">
      <c r="A19" s="3">
        <v>1</v>
      </c>
      <c r="B19" s="3">
        <v>30</v>
      </c>
      <c r="C19" s="3">
        <v>1</v>
      </c>
      <c r="E19" s="3">
        <v>1600</v>
      </c>
    </row>
    <row r="20" spans="1:7" ht="15.75" thickBot="1" x14ac:dyDescent="0.3">
      <c r="A20" s="3">
        <v>2</v>
      </c>
      <c r="B20" s="3">
        <v>45</v>
      </c>
      <c r="C20" s="3">
        <v>2</v>
      </c>
      <c r="E20" s="3">
        <v>1900</v>
      </c>
    </row>
    <row r="22" spans="1:7" x14ac:dyDescent="0.25">
      <c r="A22" s="6" t="s">
        <v>15</v>
      </c>
    </row>
    <row r="24" spans="1:7" x14ac:dyDescent="0.25">
      <c r="A24" t="s">
        <v>16</v>
      </c>
    </row>
    <row r="25" spans="1:7" x14ac:dyDescent="0.25">
      <c r="A25" t="s">
        <v>23</v>
      </c>
    </row>
    <row r="26" spans="1:7" x14ac:dyDescent="0.25">
      <c r="A26" t="s">
        <v>19</v>
      </c>
      <c r="G26" t="s">
        <v>20</v>
      </c>
    </row>
    <row r="27" spans="1:7" x14ac:dyDescent="0.25">
      <c r="A27" t="s">
        <v>18</v>
      </c>
    </row>
    <row r="28" spans="1:7" x14ac:dyDescent="0.25">
      <c r="A28" t="s">
        <v>21</v>
      </c>
      <c r="G28" t="s">
        <v>20</v>
      </c>
    </row>
    <row r="29" spans="1:7" x14ac:dyDescent="0.25">
      <c r="A29" t="s">
        <v>22</v>
      </c>
    </row>
    <row r="30" spans="1:7" x14ac:dyDescent="0.25">
      <c r="A30" t="s">
        <v>24</v>
      </c>
    </row>
    <row r="31" spans="1:7" x14ac:dyDescent="0.25">
      <c r="A31" t="s">
        <v>25</v>
      </c>
    </row>
    <row r="33" spans="1:12" ht="15.75" x14ac:dyDescent="0.25">
      <c r="A33" s="14" t="s">
        <v>26</v>
      </c>
    </row>
    <row r="34" spans="1:12" x14ac:dyDescent="0.25">
      <c r="A34" s="6" t="s">
        <v>17</v>
      </c>
    </row>
    <row r="35" spans="1:12" x14ac:dyDescent="0.25">
      <c r="A35" t="s">
        <v>27</v>
      </c>
    </row>
    <row r="36" spans="1:12" x14ac:dyDescent="0.25">
      <c r="A36" t="s">
        <v>29</v>
      </c>
    </row>
    <row r="37" spans="1:12" x14ac:dyDescent="0.25">
      <c r="A37" s="10" t="s">
        <v>28</v>
      </c>
      <c r="G37" s="6" t="s">
        <v>8</v>
      </c>
      <c r="J37" s="10" t="s">
        <v>9</v>
      </c>
    </row>
    <row r="38" spans="1:12" x14ac:dyDescent="0.25">
      <c r="A38" s="7">
        <f>F38*J$38+G38*J$39+H38*J$40</f>
        <v>93900</v>
      </c>
      <c r="B38" s="8" t="s">
        <v>30</v>
      </c>
      <c r="F38" s="7">
        <v>3</v>
      </c>
      <c r="G38" s="7">
        <v>51</v>
      </c>
      <c r="H38" s="7">
        <v>3</v>
      </c>
      <c r="J38" s="7">
        <v>2200</v>
      </c>
      <c r="L38" s="8"/>
    </row>
    <row r="39" spans="1:12" x14ac:dyDescent="0.25">
      <c r="A39" s="7">
        <f t="shared" ref="A39:A40" si="0">F39*J$38+G39*J$39+H39*J$40</f>
        <v>52100</v>
      </c>
      <c r="B39" s="8" t="s">
        <v>31</v>
      </c>
      <c r="F39" s="7">
        <v>1</v>
      </c>
      <c r="G39" s="7">
        <v>30</v>
      </c>
      <c r="H39" s="7">
        <v>1</v>
      </c>
      <c r="J39" s="7">
        <v>1600</v>
      </c>
      <c r="L39" s="8"/>
    </row>
    <row r="40" spans="1:12" x14ac:dyDescent="0.25">
      <c r="A40" s="7">
        <f t="shared" si="0"/>
        <v>80200</v>
      </c>
      <c r="B40" s="8" t="s">
        <v>32</v>
      </c>
      <c r="F40" s="7">
        <v>2</v>
      </c>
      <c r="G40" s="7">
        <v>45</v>
      </c>
      <c r="H40" s="7">
        <v>2</v>
      </c>
      <c r="J40" s="7">
        <v>1900</v>
      </c>
      <c r="L40" s="8"/>
    </row>
    <row r="41" spans="1:12" x14ac:dyDescent="0.25">
      <c r="B41" s="11" t="s">
        <v>50</v>
      </c>
    </row>
    <row r="42" spans="1:12" x14ac:dyDescent="0.25">
      <c r="A42" t="s">
        <v>33</v>
      </c>
    </row>
    <row r="43" spans="1:12" x14ac:dyDescent="0.25">
      <c r="A43" s="10"/>
      <c r="J43" s="10" t="s">
        <v>28</v>
      </c>
    </row>
    <row r="44" spans="1:12" x14ac:dyDescent="0.25">
      <c r="A44" s="12">
        <f>F44*J$44+G44*J$45+H44*J$46</f>
        <v>494200</v>
      </c>
      <c r="B44" s="8" t="s">
        <v>34</v>
      </c>
      <c r="F44" s="7">
        <v>3</v>
      </c>
      <c r="G44" s="7">
        <v>1</v>
      </c>
      <c r="H44" s="7">
        <v>2</v>
      </c>
      <c r="J44" s="12">
        <v>93900</v>
      </c>
      <c r="L44" s="8"/>
    </row>
    <row r="45" spans="1:12" x14ac:dyDescent="0.25">
      <c r="A45" s="12">
        <f t="shared" ref="A45:A46" si="1">F45*J$44+G45*J$45+H45*J$46</f>
        <v>9960900</v>
      </c>
      <c r="B45" s="8" t="s">
        <v>35</v>
      </c>
      <c r="F45" s="7">
        <v>51</v>
      </c>
      <c r="G45" s="7">
        <v>30</v>
      </c>
      <c r="H45" s="7">
        <v>45</v>
      </c>
      <c r="J45" s="12">
        <v>52100</v>
      </c>
      <c r="L45" s="8"/>
    </row>
    <row r="46" spans="1:12" x14ac:dyDescent="0.25">
      <c r="A46" s="12">
        <f t="shared" si="1"/>
        <v>494200</v>
      </c>
      <c r="B46" s="8" t="s">
        <v>34</v>
      </c>
      <c r="F46" s="7">
        <v>3</v>
      </c>
      <c r="G46" s="7">
        <v>1</v>
      </c>
      <c r="H46" s="7">
        <v>2</v>
      </c>
      <c r="J46" s="12">
        <v>80200</v>
      </c>
      <c r="L46" s="8"/>
    </row>
    <row r="47" spans="1:12" x14ac:dyDescent="0.25">
      <c r="B47" s="11" t="s">
        <v>36</v>
      </c>
    </row>
    <row r="48" spans="1:12" x14ac:dyDescent="0.25">
      <c r="A48" s="6" t="s">
        <v>37</v>
      </c>
    </row>
    <row r="49" spans="1:12" x14ac:dyDescent="0.25">
      <c r="A49" t="s">
        <v>44</v>
      </c>
    </row>
    <row r="50" spans="1:12" x14ac:dyDescent="0.25">
      <c r="B50" s="6" t="s">
        <v>43</v>
      </c>
      <c r="K50" s="6" t="s">
        <v>8</v>
      </c>
    </row>
    <row r="51" spans="1:12" x14ac:dyDescent="0.25">
      <c r="A51" s="12">
        <f>$F51*J$51+$G51*J$52+$H51*J$53</f>
        <v>14</v>
      </c>
      <c r="B51" s="12">
        <f t="shared" ref="B51:B53" si="2">$F51*K$51+$G51*K$52+$H51*K$53</f>
        <v>273</v>
      </c>
      <c r="C51" s="12">
        <f t="shared" ref="C51:C53" si="3">$F51*L$51+$G51*L$52+$H51*L$53</f>
        <v>14</v>
      </c>
      <c r="F51" s="7">
        <v>3</v>
      </c>
      <c r="G51" s="7">
        <v>1</v>
      </c>
      <c r="H51" s="7">
        <v>2</v>
      </c>
      <c r="J51" s="7">
        <v>3</v>
      </c>
      <c r="K51" s="7">
        <v>51</v>
      </c>
      <c r="L51" s="7">
        <v>3</v>
      </c>
    </row>
    <row r="52" spans="1:12" x14ac:dyDescent="0.25">
      <c r="A52" s="12">
        <f t="shared" ref="A52:A53" si="4">$F52*J$51+$G52*J$52+$H52*J$53</f>
        <v>273</v>
      </c>
      <c r="B52" s="12">
        <f t="shared" si="2"/>
        <v>5526</v>
      </c>
      <c r="C52" s="12">
        <f t="shared" si="3"/>
        <v>273</v>
      </c>
      <c r="F52" s="7">
        <v>51</v>
      </c>
      <c r="G52" s="7">
        <v>30</v>
      </c>
      <c r="H52" s="7">
        <v>45</v>
      </c>
      <c r="J52" s="7">
        <v>1</v>
      </c>
      <c r="K52" s="7">
        <v>30</v>
      </c>
      <c r="L52" s="7">
        <v>1</v>
      </c>
    </row>
    <row r="53" spans="1:12" x14ac:dyDescent="0.25">
      <c r="A53" s="12">
        <f t="shared" si="4"/>
        <v>14</v>
      </c>
      <c r="B53" s="12">
        <f t="shared" si="2"/>
        <v>273</v>
      </c>
      <c r="C53" s="12">
        <f t="shared" si="3"/>
        <v>14</v>
      </c>
      <c r="F53" s="7">
        <v>3</v>
      </c>
      <c r="G53" s="7">
        <v>1</v>
      </c>
      <c r="H53" s="7">
        <v>2</v>
      </c>
      <c r="J53" s="7">
        <v>2</v>
      </c>
      <c r="K53" s="7">
        <v>45</v>
      </c>
      <c r="L53" s="7">
        <v>2</v>
      </c>
    </row>
    <row r="54" spans="1:12" x14ac:dyDescent="0.25">
      <c r="A54" t="s">
        <v>45</v>
      </c>
    </row>
    <row r="55" spans="1:12" x14ac:dyDescent="0.25">
      <c r="A55" t="s">
        <v>38</v>
      </c>
      <c r="E55" t="s">
        <v>39</v>
      </c>
      <c r="I55" t="s">
        <v>42</v>
      </c>
    </row>
    <row r="56" spans="1:12" x14ac:dyDescent="0.25">
      <c r="A56" s="12">
        <f>$F51*J$51+$G51*J$52+$H51*J$53</f>
        <v>14</v>
      </c>
      <c r="B56" s="8" t="s">
        <v>46</v>
      </c>
      <c r="E56" s="12">
        <f>$F51*K$51+$G51*K$52+$H51*K$53</f>
        <v>273</v>
      </c>
      <c r="F56" s="8" t="s">
        <v>40</v>
      </c>
      <c r="I56" s="12">
        <f>$F51*L$51+$G51*L$52+$H51*L$53</f>
        <v>14</v>
      </c>
      <c r="J56" s="8" t="s">
        <v>46</v>
      </c>
    </row>
    <row r="57" spans="1:12" x14ac:dyDescent="0.25">
      <c r="A57" s="12">
        <f>$F52*J$51+$G52*J$52+$H52*J$53</f>
        <v>273</v>
      </c>
      <c r="B57" s="8" t="s">
        <v>47</v>
      </c>
      <c r="E57" s="12">
        <f>$F52*K$51+$G52*K$52+$H52*K$53</f>
        <v>5526</v>
      </c>
      <c r="F57" s="8" t="s">
        <v>41</v>
      </c>
      <c r="I57" s="12">
        <f>$F52*L$51+$G52*L$52+$H52*L$53</f>
        <v>273</v>
      </c>
      <c r="J57" s="8" t="s">
        <v>47</v>
      </c>
    </row>
    <row r="58" spans="1:12" x14ac:dyDescent="0.25">
      <c r="A58" s="12">
        <f>$F53*J$51+$G53*J$52+$H53*J$53</f>
        <v>14</v>
      </c>
      <c r="B58" s="8" t="s">
        <v>46</v>
      </c>
      <c r="E58" s="12">
        <f>$F53*K$51+$G53*K$52+$H53*K$53</f>
        <v>273</v>
      </c>
      <c r="F58" s="8" t="s">
        <v>40</v>
      </c>
      <c r="I58" s="12">
        <f>$F53*L$51+$G53*L$52+$H53*L$53</f>
        <v>14</v>
      </c>
      <c r="J58" s="8" t="s">
        <v>48</v>
      </c>
    </row>
    <row r="59" spans="1:12" x14ac:dyDescent="0.25">
      <c r="B59" s="11" t="s">
        <v>49</v>
      </c>
    </row>
    <row r="60" spans="1:12" x14ac:dyDescent="0.25">
      <c r="A60" t="s">
        <v>51</v>
      </c>
      <c r="B60" s="8"/>
      <c r="F60" s="8"/>
    </row>
    <row r="61" spans="1:12" x14ac:dyDescent="0.25">
      <c r="G61" s="6" t="s">
        <v>43</v>
      </c>
      <c r="J61" s="10" t="s">
        <v>9</v>
      </c>
    </row>
    <row r="62" spans="1:12" x14ac:dyDescent="0.25">
      <c r="A62" s="12">
        <f>F62*J$62+G62*J$63+H62*J$64</f>
        <v>494200</v>
      </c>
      <c r="B62" s="8" t="s">
        <v>53</v>
      </c>
      <c r="F62" s="12">
        <v>14</v>
      </c>
      <c r="G62" s="12">
        <v>273</v>
      </c>
      <c r="H62" s="12">
        <v>14</v>
      </c>
      <c r="J62" s="7">
        <v>2200</v>
      </c>
    </row>
    <row r="63" spans="1:12" x14ac:dyDescent="0.25">
      <c r="A63" s="12">
        <f t="shared" ref="A63:A64" si="5">F63*J$62+G63*J$63+H63*J$64</f>
        <v>9960900</v>
      </c>
      <c r="B63" s="8" t="s">
        <v>52</v>
      </c>
      <c r="F63" s="12">
        <v>273</v>
      </c>
      <c r="G63" s="12">
        <v>5526</v>
      </c>
      <c r="H63" s="12">
        <v>273</v>
      </c>
      <c r="J63" s="7">
        <v>1600</v>
      </c>
    </row>
    <row r="64" spans="1:12" x14ac:dyDescent="0.25">
      <c r="A64" s="12">
        <f t="shared" si="5"/>
        <v>494200</v>
      </c>
      <c r="B64" s="8" t="s">
        <v>53</v>
      </c>
      <c r="F64" s="12">
        <v>14</v>
      </c>
      <c r="G64" s="12">
        <v>273</v>
      </c>
      <c r="H64" s="12">
        <v>14</v>
      </c>
      <c r="J64" s="7">
        <v>1900</v>
      </c>
    </row>
    <row r="65" spans="1:3" x14ac:dyDescent="0.25">
      <c r="B65" s="11" t="s">
        <v>54</v>
      </c>
    </row>
    <row r="67" spans="1:3" x14ac:dyDescent="0.25">
      <c r="A67" s="6" t="s">
        <v>57</v>
      </c>
      <c r="B67" s="8"/>
    </row>
    <row r="68" spans="1:3" x14ac:dyDescent="0.25">
      <c r="C68" s="8" t="s">
        <v>55</v>
      </c>
    </row>
    <row r="69" spans="1:3" x14ac:dyDescent="0.25">
      <c r="A69" s="12">
        <v>494200</v>
      </c>
      <c r="C69" s="8" t="s">
        <v>56</v>
      </c>
    </row>
    <row r="70" spans="1:3" x14ac:dyDescent="0.25">
      <c r="A70" s="12">
        <v>9960900</v>
      </c>
      <c r="C70" t="s">
        <v>58</v>
      </c>
    </row>
    <row r="71" spans="1:3" x14ac:dyDescent="0.25">
      <c r="A71" s="12">
        <v>494200</v>
      </c>
      <c r="C71" t="s">
        <v>59</v>
      </c>
    </row>
    <row r="74" spans="1:3" ht="23.25" x14ac:dyDescent="0.25">
      <c r="A74" s="15" t="s">
        <v>60</v>
      </c>
    </row>
    <row r="75" spans="1:3" x14ac:dyDescent="0.25">
      <c r="A75" t="s">
        <v>71</v>
      </c>
    </row>
    <row r="76" spans="1:3" x14ac:dyDescent="0.25">
      <c r="A76" t="s">
        <v>72</v>
      </c>
    </row>
    <row r="77" spans="1:3" x14ac:dyDescent="0.25">
      <c r="A77" t="s">
        <v>73</v>
      </c>
    </row>
    <row r="78" spans="1:3" x14ac:dyDescent="0.25">
      <c r="A78" s="6" t="s">
        <v>15</v>
      </c>
    </row>
    <row r="79" spans="1:3" x14ac:dyDescent="0.25">
      <c r="A79" t="s">
        <v>67</v>
      </c>
    </row>
    <row r="80" spans="1:3" x14ac:dyDescent="0.25">
      <c r="A80" t="s">
        <v>61</v>
      </c>
    </row>
    <row r="81" spans="1:9" x14ac:dyDescent="0.25">
      <c r="A81" t="s">
        <v>62</v>
      </c>
    </row>
    <row r="82" spans="1:9" x14ac:dyDescent="0.25">
      <c r="A82" t="s">
        <v>63</v>
      </c>
    </row>
    <row r="83" spans="1:9" x14ac:dyDescent="0.25">
      <c r="A83" t="s">
        <v>64</v>
      </c>
    </row>
    <row r="84" spans="1:9" x14ac:dyDescent="0.25">
      <c r="A84" t="s">
        <v>65</v>
      </c>
    </row>
    <row r="85" spans="1:9" x14ac:dyDescent="0.25">
      <c r="A85" t="s">
        <v>66</v>
      </c>
    </row>
    <row r="87" spans="1:9" x14ac:dyDescent="0.25">
      <c r="A87" s="6" t="s">
        <v>26</v>
      </c>
    </row>
    <row r="88" spans="1:9" x14ac:dyDescent="0.25">
      <c r="A88" s="13" t="s">
        <v>68</v>
      </c>
    </row>
    <row r="89" spans="1:9" x14ac:dyDescent="0.25"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I89" t="s">
        <v>7</v>
      </c>
    </row>
    <row r="90" spans="1:9" x14ac:dyDescent="0.25">
      <c r="C90" s="16"/>
      <c r="D90" s="16"/>
      <c r="E90" s="16" t="s">
        <v>69</v>
      </c>
      <c r="F90" s="16"/>
      <c r="G90" s="16"/>
      <c r="I90" s="9" t="s">
        <v>70</v>
      </c>
    </row>
    <row r="91" spans="1:9" x14ac:dyDescent="0.25">
      <c r="B91" s="7">
        <v>3</v>
      </c>
      <c r="C91" s="7">
        <v>51</v>
      </c>
      <c r="D91" s="7">
        <v>3</v>
      </c>
      <c r="E91" s="7">
        <v>0</v>
      </c>
      <c r="F91" s="7">
        <v>1</v>
      </c>
      <c r="G91" s="7">
        <v>0</v>
      </c>
      <c r="I91" s="7">
        <v>2200</v>
      </c>
    </row>
    <row r="92" spans="1:9" x14ac:dyDescent="0.25">
      <c r="B92" s="7">
        <v>1</v>
      </c>
      <c r="C92" s="7">
        <v>30</v>
      </c>
      <c r="D92" s="7">
        <v>1</v>
      </c>
      <c r="E92" s="7">
        <v>0</v>
      </c>
      <c r="F92" s="7">
        <v>1</v>
      </c>
      <c r="G92" s="7">
        <v>0</v>
      </c>
      <c r="I92" s="7">
        <v>1600</v>
      </c>
    </row>
    <row r="93" spans="1:9" x14ac:dyDescent="0.25">
      <c r="B93" s="7">
        <v>2</v>
      </c>
      <c r="C93" s="7">
        <v>45</v>
      </c>
      <c r="D93" s="7">
        <v>2</v>
      </c>
      <c r="E93" s="7">
        <v>0</v>
      </c>
      <c r="F93" s="7">
        <v>1</v>
      </c>
      <c r="G93" s="7">
        <v>0</v>
      </c>
      <c r="I93" s="7">
        <v>1900</v>
      </c>
    </row>
    <row r="94" spans="1:9" x14ac:dyDescent="0.25">
      <c r="B94" s="7">
        <v>3</v>
      </c>
      <c r="C94" s="7">
        <v>55</v>
      </c>
      <c r="D94" s="7">
        <v>1</v>
      </c>
      <c r="E94" s="7">
        <v>0</v>
      </c>
      <c r="F94" s="7">
        <v>1</v>
      </c>
      <c r="G94" s="7">
        <v>0</v>
      </c>
      <c r="I94" s="7">
        <v>2000</v>
      </c>
    </row>
    <row r="95" spans="1:9" x14ac:dyDescent="0.25">
      <c r="B95" s="7">
        <v>1</v>
      </c>
      <c r="C95" s="7">
        <v>45</v>
      </c>
      <c r="D95" s="7">
        <v>3</v>
      </c>
      <c r="E95" s="7">
        <v>1</v>
      </c>
      <c r="F95" s="7">
        <v>0</v>
      </c>
      <c r="G95" s="7">
        <v>0</v>
      </c>
      <c r="I95" s="7">
        <v>4500</v>
      </c>
    </row>
    <row r="97" spans="1:30" x14ac:dyDescent="0.25">
      <c r="A97" s="13" t="s">
        <v>74</v>
      </c>
    </row>
    <row r="98" spans="1:30" x14ac:dyDescent="0.25">
      <c r="A98" t="s">
        <v>75</v>
      </c>
    </row>
    <row r="99" spans="1:30" x14ac:dyDescent="0.25">
      <c r="A99" t="s">
        <v>76</v>
      </c>
      <c r="B99">
        <f>SUM(B91:B95)</f>
        <v>10</v>
      </c>
      <c r="C99">
        <f t="shared" ref="C99:I99" si="6">SUM(C91:C95)</f>
        <v>226</v>
      </c>
      <c r="D99">
        <f t="shared" si="6"/>
        <v>10</v>
      </c>
      <c r="E99">
        <f t="shared" si="6"/>
        <v>1</v>
      </c>
      <c r="F99">
        <f t="shared" si="6"/>
        <v>4</v>
      </c>
      <c r="G99">
        <f t="shared" si="6"/>
        <v>0</v>
      </c>
      <c r="I99">
        <f t="shared" si="6"/>
        <v>12200</v>
      </c>
      <c r="AB99">
        <v>95</v>
      </c>
      <c r="AC99">
        <v>5</v>
      </c>
      <c r="AD99">
        <f>AB99/AC99</f>
        <v>19</v>
      </c>
    </row>
    <row r="100" spans="1:30" x14ac:dyDescent="0.25">
      <c r="A100" t="s">
        <v>77</v>
      </c>
      <c r="B100">
        <f>B99/5</f>
        <v>2</v>
      </c>
      <c r="C100" s="17">
        <f t="shared" ref="C100:I100" si="7">C99/5</f>
        <v>45.2</v>
      </c>
      <c r="D100">
        <f t="shared" si="7"/>
        <v>2</v>
      </c>
      <c r="E100" s="17">
        <f t="shared" si="7"/>
        <v>0.2</v>
      </c>
      <c r="F100" s="17">
        <f t="shared" si="7"/>
        <v>0.8</v>
      </c>
      <c r="G100">
        <f t="shared" si="7"/>
        <v>0</v>
      </c>
      <c r="I100">
        <f t="shared" si="7"/>
        <v>2440</v>
      </c>
      <c r="S100">
        <f>1/5</f>
        <v>0.2</v>
      </c>
    </row>
    <row r="101" spans="1:30" x14ac:dyDescent="0.25">
      <c r="A101" t="s">
        <v>78</v>
      </c>
      <c r="S101">
        <f>S100^2</f>
        <v>4.0000000000000008E-2</v>
      </c>
      <c r="T101">
        <f>S101*5</f>
        <v>0.20000000000000004</v>
      </c>
      <c r="U101">
        <f>SQRT(T101)</f>
        <v>0.44721359549995798</v>
      </c>
    </row>
    <row r="102" spans="1:30" x14ac:dyDescent="0.25">
      <c r="B102" s="7">
        <f>B91-B$100</f>
        <v>1</v>
      </c>
      <c r="C102" s="17">
        <f t="shared" ref="C102:G102" si="8">C91-C$100</f>
        <v>5.7999999999999972</v>
      </c>
      <c r="D102" s="7">
        <f t="shared" si="8"/>
        <v>1</v>
      </c>
      <c r="E102" s="17">
        <f t="shared" si="8"/>
        <v>-0.2</v>
      </c>
      <c r="F102" s="17">
        <f t="shared" si="8"/>
        <v>0.19999999999999996</v>
      </c>
      <c r="G102" s="7">
        <f t="shared" si="8"/>
        <v>0</v>
      </c>
      <c r="I102" s="7">
        <f t="shared" ref="I102" si="9">I91-I$100</f>
        <v>-240</v>
      </c>
      <c r="J102" s="19">
        <f>I102^2</f>
        <v>57600</v>
      </c>
      <c r="K102">
        <f>SQRT(ABS(I102))</f>
        <v>15.491933384829668</v>
      </c>
      <c r="M102" t="s">
        <v>83</v>
      </c>
      <c r="Z102">
        <v>2255</v>
      </c>
    </row>
    <row r="103" spans="1:30" x14ac:dyDescent="0.25">
      <c r="B103" s="7">
        <f t="shared" ref="B103:G103" si="10">B92-B$100</f>
        <v>-1</v>
      </c>
      <c r="C103" s="17">
        <f t="shared" si="10"/>
        <v>-15.200000000000003</v>
      </c>
      <c r="D103" s="7">
        <f t="shared" si="10"/>
        <v>-1</v>
      </c>
      <c r="E103" s="17">
        <f t="shared" si="10"/>
        <v>-0.2</v>
      </c>
      <c r="F103" s="17">
        <f t="shared" si="10"/>
        <v>0.19999999999999996</v>
      </c>
      <c r="G103" s="7">
        <f t="shared" si="10"/>
        <v>0</v>
      </c>
      <c r="I103" s="7">
        <f t="shared" ref="I103" si="11">I92-I$100</f>
        <v>-840</v>
      </c>
      <c r="J103" s="19">
        <f t="shared" ref="J103:J106" si="12">I103^2</f>
        <v>705600</v>
      </c>
      <c r="K103">
        <f t="shared" ref="K103:K106" si="13">SQRT(ABS(I103))</f>
        <v>28.982753492378876</v>
      </c>
      <c r="S103">
        <f>4/5</f>
        <v>0.8</v>
      </c>
      <c r="T103">
        <f>SQRT(S103)</f>
        <v>0.89442719099991586</v>
      </c>
      <c r="W103">
        <f>W104*W105*W106</f>
        <v>1805</v>
      </c>
    </row>
    <row r="104" spans="1:30" x14ac:dyDescent="0.25">
      <c r="B104" s="7">
        <f t="shared" ref="B104:G104" si="14">B93-B$100</f>
        <v>0</v>
      </c>
      <c r="C104" s="17">
        <f t="shared" si="14"/>
        <v>-0.20000000000000284</v>
      </c>
      <c r="D104" s="7">
        <f t="shared" si="14"/>
        <v>0</v>
      </c>
      <c r="E104" s="17">
        <f t="shared" si="14"/>
        <v>-0.2</v>
      </c>
      <c r="F104" s="17">
        <f t="shared" si="14"/>
        <v>0.19999999999999996</v>
      </c>
      <c r="G104" s="7">
        <f t="shared" si="14"/>
        <v>0</v>
      </c>
      <c r="I104" s="7">
        <f t="shared" ref="I104" si="15">I93-I$100</f>
        <v>-540</v>
      </c>
      <c r="J104" s="19">
        <f t="shared" si="12"/>
        <v>291600</v>
      </c>
      <c r="K104">
        <f t="shared" si="13"/>
        <v>23.2379000772445</v>
      </c>
      <c r="M104">
        <v>29</v>
      </c>
      <c r="N104">
        <f>M104^2</f>
        <v>841</v>
      </c>
      <c r="T104">
        <f>T103*2</f>
        <v>1.7888543819998317</v>
      </c>
      <c r="W104">
        <v>5</v>
      </c>
    </row>
    <row r="105" spans="1:30" x14ac:dyDescent="0.25">
      <c r="B105" s="7">
        <f t="shared" ref="B105:G105" si="16">B94-B$100</f>
        <v>1</v>
      </c>
      <c r="C105" s="17">
        <f t="shared" si="16"/>
        <v>9.7999999999999972</v>
      </c>
      <c r="D105" s="7">
        <f t="shared" si="16"/>
        <v>-1</v>
      </c>
      <c r="E105" s="17">
        <f t="shared" si="16"/>
        <v>-0.2</v>
      </c>
      <c r="F105" s="17">
        <f t="shared" si="16"/>
        <v>0.19999999999999996</v>
      </c>
      <c r="G105" s="7">
        <f t="shared" si="16"/>
        <v>0</v>
      </c>
      <c r="I105" s="7">
        <f t="shared" ref="I105" si="17">I94-I$100</f>
        <v>-440</v>
      </c>
      <c r="J105" s="19">
        <f t="shared" si="12"/>
        <v>193600</v>
      </c>
      <c r="K105">
        <f t="shared" si="13"/>
        <v>20.976176963403031</v>
      </c>
      <c r="M105">
        <v>76</v>
      </c>
      <c r="N105">
        <f t="shared" ref="N105:N108" si="18">M105^2</f>
        <v>5776</v>
      </c>
      <c r="R105">
        <f>5*451</f>
        <v>2255</v>
      </c>
      <c r="W105">
        <v>19</v>
      </c>
    </row>
    <row r="106" spans="1:30" x14ac:dyDescent="0.25">
      <c r="B106" s="7">
        <f t="shared" ref="B106:G106" si="19">B95-B$100</f>
        <v>-1</v>
      </c>
      <c r="C106" s="17">
        <f t="shared" si="19"/>
        <v>-0.20000000000000284</v>
      </c>
      <c r="D106" s="7">
        <f t="shared" si="19"/>
        <v>1</v>
      </c>
      <c r="E106" s="17">
        <f t="shared" si="19"/>
        <v>0.8</v>
      </c>
      <c r="F106" s="17">
        <f t="shared" si="19"/>
        <v>-0.8</v>
      </c>
      <c r="G106" s="7">
        <f t="shared" si="19"/>
        <v>0</v>
      </c>
      <c r="I106" s="7">
        <f t="shared" ref="I106" si="20">I95-I$100</f>
        <v>2060</v>
      </c>
      <c r="J106" s="19">
        <f t="shared" si="12"/>
        <v>4243600</v>
      </c>
      <c r="K106">
        <f t="shared" si="13"/>
        <v>45.387222871640866</v>
      </c>
      <c r="M106">
        <v>1</v>
      </c>
      <c r="N106">
        <f t="shared" si="18"/>
        <v>1</v>
      </c>
      <c r="W106">
        <v>19</v>
      </c>
    </row>
    <row r="107" spans="1:30" x14ac:dyDescent="0.25">
      <c r="A107" t="s">
        <v>79</v>
      </c>
      <c r="J107" s="19">
        <f>SUM(J102:J106)</f>
        <v>5492000</v>
      </c>
      <c r="K107">
        <f>SQRT(ABS(J107))</f>
        <v>2343.5016535091245</v>
      </c>
      <c r="M107">
        <v>49</v>
      </c>
      <c r="N107">
        <f t="shared" si="18"/>
        <v>2401</v>
      </c>
      <c r="V107">
        <v>95</v>
      </c>
      <c r="W107">
        <f>V107*V107</f>
        <v>9025</v>
      </c>
      <c r="Y107">
        <f>V107*V107</f>
        <v>9025</v>
      </c>
      <c r="Z107">
        <f>Y107/5</f>
        <v>1805</v>
      </c>
      <c r="AA107">
        <v>1804</v>
      </c>
      <c r="AB107">
        <f>AA107/Z107</f>
        <v>0.99944598337950141</v>
      </c>
      <c r="AC107">
        <f>SQRT(AB107)</f>
        <v>0.99972295331231709</v>
      </c>
    </row>
    <row r="108" spans="1:30" x14ac:dyDescent="0.25">
      <c r="A108" t="s">
        <v>80</v>
      </c>
      <c r="M108">
        <v>1</v>
      </c>
      <c r="N108">
        <f t="shared" si="18"/>
        <v>1</v>
      </c>
      <c r="V108">
        <v>9020</v>
      </c>
      <c r="W108">
        <v>25</v>
      </c>
      <c r="X108">
        <f>V108/W108</f>
        <v>360.8</v>
      </c>
      <c r="Y108">
        <f>SQRT(X108)</f>
        <v>18.994736112934024</v>
      </c>
      <c r="AC108">
        <v>19</v>
      </c>
    </row>
    <row r="109" spans="1:30" x14ac:dyDescent="0.25">
      <c r="B109">
        <f>(B102^2+B103^2+B104^2+B105^2+B106^2)^(1/2)</f>
        <v>2</v>
      </c>
      <c r="C109">
        <f t="shared" ref="C109:I109" si="21">(C102^2+C103^2+C104^2+C105^2+C106^2)^(1/2)</f>
        <v>18.994736112934028</v>
      </c>
      <c r="D109">
        <f t="shared" si="21"/>
        <v>2</v>
      </c>
      <c r="E109">
        <f t="shared" si="21"/>
        <v>0.89442719099991597</v>
      </c>
      <c r="F109">
        <f t="shared" si="21"/>
        <v>0.89442719099991586</v>
      </c>
      <c r="G109">
        <f t="shared" si="21"/>
        <v>0</v>
      </c>
      <c r="H109">
        <f t="shared" si="21"/>
        <v>0</v>
      </c>
      <c r="I109">
        <f t="shared" si="21"/>
        <v>2343.5016535091245</v>
      </c>
      <c r="N109">
        <f>SUM(N104:N108)</f>
        <v>9020</v>
      </c>
      <c r="P109">
        <v>2255</v>
      </c>
      <c r="Q109">
        <v>4</v>
      </c>
      <c r="R109">
        <f>Q109*P109</f>
        <v>9020</v>
      </c>
      <c r="X109">
        <v>441</v>
      </c>
      <c r="Y109">
        <f>SQRT(X109)</f>
        <v>21</v>
      </c>
      <c r="AC109">
        <f>AC108*AC107</f>
        <v>18.994736112934024</v>
      </c>
    </row>
    <row r="110" spans="1:30" x14ac:dyDescent="0.25">
      <c r="A110" t="s">
        <v>81</v>
      </c>
      <c r="X110" s="17">
        <f>X109-X108</f>
        <v>80.199999999999989</v>
      </c>
      <c r="Y110">
        <f>SQRT(X110)</f>
        <v>8.9554452708952432</v>
      </c>
    </row>
    <row r="111" spans="1:30" x14ac:dyDescent="0.25">
      <c r="B111" s="18">
        <f>B102/B$109</f>
        <v>0.5</v>
      </c>
      <c r="C111" s="18">
        <f t="shared" ref="C111:I111" si="22">C102/C$109</f>
        <v>0.30534775347842924</v>
      </c>
      <c r="D111" s="18">
        <f t="shared" si="22"/>
        <v>0.5</v>
      </c>
      <c r="E111" s="18">
        <f t="shared" si="22"/>
        <v>-0.22360679774997896</v>
      </c>
      <c r="F111" s="18">
        <f t="shared" si="22"/>
        <v>0.22360679774997894</v>
      </c>
      <c r="G111" s="18"/>
      <c r="H111" s="18"/>
      <c r="I111" s="18">
        <f t="shared" si="22"/>
        <v>-0.10241085157359611</v>
      </c>
    </row>
    <row r="112" spans="1:30" x14ac:dyDescent="0.25">
      <c r="B112" s="18">
        <f t="shared" ref="B112:I115" si="23">B103/B$109</f>
        <v>-0.5</v>
      </c>
      <c r="C112" s="18">
        <f t="shared" si="23"/>
        <v>-0.80022169877105653</v>
      </c>
      <c r="D112" s="18">
        <f t="shared" si="23"/>
        <v>-0.5</v>
      </c>
      <c r="E112" s="18">
        <f t="shared" si="23"/>
        <v>-0.22360679774997896</v>
      </c>
      <c r="F112" s="18">
        <f t="shared" si="23"/>
        <v>0.22360679774997894</v>
      </c>
      <c r="G112" s="18"/>
      <c r="H112" s="18"/>
      <c r="I112" s="18">
        <f t="shared" si="23"/>
        <v>-0.35843798050758635</v>
      </c>
      <c r="N112" t="s">
        <v>82</v>
      </c>
      <c r="Y112">
        <v>4</v>
      </c>
      <c r="Z112">
        <f>1/5</f>
        <v>0.2</v>
      </c>
      <c r="AA112">
        <f>SQRT(Z112)</f>
        <v>0.44721359549995793</v>
      </c>
      <c r="AB112">
        <f>Y112*AA112</f>
        <v>1.7888543819998317</v>
      </c>
    </row>
    <row r="113" spans="2:29" x14ac:dyDescent="0.25">
      <c r="B113" s="18">
        <f t="shared" si="23"/>
        <v>0</v>
      </c>
      <c r="C113" s="18">
        <f t="shared" si="23"/>
        <v>-1.0529232878566681E-2</v>
      </c>
      <c r="D113" s="18">
        <f t="shared" si="23"/>
        <v>0</v>
      </c>
      <c r="E113" s="18">
        <f t="shared" si="23"/>
        <v>-0.22360679774997896</v>
      </c>
      <c r="F113" s="18">
        <f t="shared" si="23"/>
        <v>0.22360679774997894</v>
      </c>
      <c r="G113" s="18"/>
      <c r="H113" s="18"/>
      <c r="I113" s="18">
        <f t="shared" si="23"/>
        <v>-0.23042441604059125</v>
      </c>
      <c r="O113">
        <f>O114</f>
        <v>2255</v>
      </c>
      <c r="R113">
        <f>38^2</f>
        <v>1444</v>
      </c>
      <c r="S113">
        <f>R113-O113</f>
        <v>-811</v>
      </c>
      <c r="T113">
        <f>SQRT(-S113)</f>
        <v>28.478061731796284</v>
      </c>
      <c r="W113">
        <v>4</v>
      </c>
      <c r="X113">
        <v>5</v>
      </c>
      <c r="Y113">
        <f>W113/X113</f>
        <v>0.8</v>
      </c>
      <c r="Z113">
        <f>SQRT(Y113)</f>
        <v>0.89442719099991586</v>
      </c>
    </row>
    <row r="114" spans="2:29" x14ac:dyDescent="0.25">
      <c r="B114" s="18">
        <f t="shared" si="23"/>
        <v>0.5</v>
      </c>
      <c r="C114" s="18">
        <f t="shared" si="23"/>
        <v>0.51593241104975984</v>
      </c>
      <c r="D114" s="18">
        <f t="shared" si="23"/>
        <v>-0.5</v>
      </c>
      <c r="E114" s="18">
        <f t="shared" si="23"/>
        <v>-0.22360679774997896</v>
      </c>
      <c r="F114" s="18">
        <f t="shared" si="23"/>
        <v>0.22360679774997894</v>
      </c>
      <c r="G114" s="18"/>
      <c r="H114" s="18"/>
      <c r="I114" s="18">
        <f t="shared" si="23"/>
        <v>-0.18775322788492621</v>
      </c>
      <c r="N114">
        <f>2/5</f>
        <v>0.4</v>
      </c>
      <c r="O114">
        <v>2255</v>
      </c>
      <c r="P114">
        <f>SQRT(O114)</f>
        <v>47.486840282335066</v>
      </c>
      <c r="R114">
        <f>48^2</f>
        <v>2304</v>
      </c>
      <c r="S114">
        <f>R114-O114</f>
        <v>49</v>
      </c>
      <c r="T114">
        <f>SQRT(S114)</f>
        <v>7</v>
      </c>
      <c r="U114">
        <f>48^2-7^2</f>
        <v>2255</v>
      </c>
      <c r="X114">
        <f>SQRT(X113)</f>
        <v>2.2360679774997898</v>
      </c>
      <c r="Y114">
        <f>X114/5</f>
        <v>0.44721359549995798</v>
      </c>
    </row>
    <row r="115" spans="2:29" x14ac:dyDescent="0.25">
      <c r="B115" s="18">
        <f t="shared" si="23"/>
        <v>-0.5</v>
      </c>
      <c r="C115" s="18">
        <f t="shared" si="23"/>
        <v>-1.0529232878566681E-2</v>
      </c>
      <c r="D115" s="18">
        <f t="shared" si="23"/>
        <v>0.5</v>
      </c>
      <c r="E115" s="18">
        <f t="shared" si="23"/>
        <v>0.89442719099991586</v>
      </c>
      <c r="F115" s="18">
        <f t="shared" si="23"/>
        <v>-0.89442719099991597</v>
      </c>
      <c r="G115" s="18"/>
      <c r="H115" s="18"/>
      <c r="I115" s="18">
        <f t="shared" si="23"/>
        <v>0.87902647600669992</v>
      </c>
      <c r="P115">
        <f>P114*2/5</f>
        <v>18.994736112934028</v>
      </c>
      <c r="S115">
        <f>R114-S114</f>
        <v>2255</v>
      </c>
      <c r="W115">
        <f>S115*4</f>
        <v>9020</v>
      </c>
      <c r="X115">
        <f>SQRT(W115)</f>
        <v>94.973680564670133</v>
      </c>
      <c r="Z115">
        <v>96</v>
      </c>
      <c r="AA115">
        <f>Z115^2</f>
        <v>9216</v>
      </c>
      <c r="AB115">
        <f>AA115-W115</f>
        <v>196</v>
      </c>
      <c r="AC115">
        <f>SQRT(AB115)</f>
        <v>14</v>
      </c>
    </row>
    <row r="117" spans="2:29" x14ac:dyDescent="0.25">
      <c r="Z117" t="s">
        <v>84</v>
      </c>
      <c r="AA117">
        <f>90-14</f>
        <v>76</v>
      </c>
      <c r="AB117">
        <f>SQRT(AA117)</f>
        <v>8.717797887081348</v>
      </c>
    </row>
    <row r="118" spans="2:29" x14ac:dyDescent="0.25">
      <c r="L118">
        <f>51/5</f>
        <v>10.199999999999999</v>
      </c>
      <c r="N118">
        <v>45.2</v>
      </c>
      <c r="O118">
        <f>N118/5</f>
        <v>9.0400000000000009</v>
      </c>
      <c r="Q118">
        <f>9*25</f>
        <v>225</v>
      </c>
      <c r="R118">
        <v>25</v>
      </c>
      <c r="S118">
        <f>Q118/R118</f>
        <v>9</v>
      </c>
      <c r="U118">
        <v>2</v>
      </c>
      <c r="V118">
        <f>4/5</f>
        <v>0.8</v>
      </c>
      <c r="W118">
        <f>SQRT(V118)</f>
        <v>0.89442719099991586</v>
      </c>
      <c r="X118">
        <f>W118*U118</f>
        <v>1.7888543819998317</v>
      </c>
      <c r="Z118" t="s">
        <v>85</v>
      </c>
      <c r="AA118">
        <f>90+14</f>
        <v>104</v>
      </c>
      <c r="AB118">
        <f>SQRT(AA118)</f>
        <v>10.198039027185569</v>
      </c>
    </row>
    <row r="120" spans="2:29" x14ac:dyDescent="0.25">
      <c r="H120">
        <v>2</v>
      </c>
    </row>
    <row r="121" spans="2:29" x14ac:dyDescent="0.25">
      <c r="H121">
        <v>5</v>
      </c>
      <c r="R121">
        <f>Q118/5</f>
        <v>45</v>
      </c>
    </row>
    <row r="122" spans="2:29" x14ac:dyDescent="0.25">
      <c r="H122">
        <v>10</v>
      </c>
      <c r="I122">
        <v>2</v>
      </c>
      <c r="K122">
        <v>2</v>
      </c>
    </row>
    <row r="123" spans="2:29" x14ac:dyDescent="0.25">
      <c r="F123">
        <v>-240</v>
      </c>
      <c r="G123">
        <f>ABS(F123)</f>
        <v>240</v>
      </c>
      <c r="H123">
        <f>$G123/H$122</f>
        <v>24</v>
      </c>
      <c r="I123">
        <f>$H123/I$122</f>
        <v>12</v>
      </c>
      <c r="J123">
        <f>I123^2</f>
        <v>144</v>
      </c>
      <c r="K123">
        <f>I123/K$122</f>
        <v>6</v>
      </c>
      <c r="M123">
        <f>2^4*3*5</f>
        <v>240</v>
      </c>
      <c r="N123" s="8" t="s">
        <v>86</v>
      </c>
      <c r="P123">
        <f>G123/10/2</f>
        <v>12</v>
      </c>
      <c r="Q123">
        <f>P123^2</f>
        <v>144</v>
      </c>
    </row>
    <row r="124" spans="2:29" x14ac:dyDescent="0.25">
      <c r="F124">
        <v>-840</v>
      </c>
      <c r="G124">
        <f t="shared" ref="G124:G127" si="24">ABS(F124)</f>
        <v>840</v>
      </c>
      <c r="H124">
        <f t="shared" ref="H124:H127" si="25">$G124/H$122</f>
        <v>84</v>
      </c>
      <c r="I124">
        <f t="shared" ref="I124:I127" si="26">$H124/I$122</f>
        <v>42</v>
      </c>
      <c r="J124">
        <f t="shared" ref="J124:J127" si="27">I124^2</f>
        <v>1764</v>
      </c>
      <c r="K124">
        <f>I124/K$122</f>
        <v>21</v>
      </c>
      <c r="M124">
        <f>7*5*3*2^3</f>
        <v>840</v>
      </c>
      <c r="N124" s="8" t="s">
        <v>87</v>
      </c>
      <c r="P124">
        <f>G124/10/2</f>
        <v>42</v>
      </c>
      <c r="Q124">
        <f t="shared" ref="Q124:Q127" si="28">P124^2</f>
        <v>1764</v>
      </c>
    </row>
    <row r="125" spans="2:29" x14ac:dyDescent="0.25">
      <c r="F125">
        <v>-540</v>
      </c>
      <c r="G125">
        <f t="shared" si="24"/>
        <v>540</v>
      </c>
      <c r="H125">
        <f t="shared" si="25"/>
        <v>54</v>
      </c>
      <c r="I125">
        <f t="shared" si="26"/>
        <v>27</v>
      </c>
      <c r="J125">
        <f t="shared" si="27"/>
        <v>729</v>
      </c>
      <c r="M125">
        <f>5*3^3*2^2</f>
        <v>540</v>
      </c>
      <c r="N125" s="8" t="s">
        <v>88</v>
      </c>
      <c r="P125">
        <f>G125/10/2</f>
        <v>27</v>
      </c>
      <c r="Q125">
        <f t="shared" si="28"/>
        <v>729</v>
      </c>
    </row>
    <row r="126" spans="2:29" x14ac:dyDescent="0.25">
      <c r="F126">
        <v>-440</v>
      </c>
      <c r="G126">
        <f t="shared" si="24"/>
        <v>440</v>
      </c>
      <c r="H126">
        <f t="shared" si="25"/>
        <v>44</v>
      </c>
      <c r="I126">
        <f t="shared" si="26"/>
        <v>22</v>
      </c>
      <c r="J126">
        <f t="shared" si="27"/>
        <v>484</v>
      </c>
      <c r="K126">
        <f>I126/K$122</f>
        <v>11</v>
      </c>
      <c r="M126">
        <f>11*5*2^3</f>
        <v>440</v>
      </c>
      <c r="N126" s="8" t="s">
        <v>89</v>
      </c>
      <c r="P126">
        <f>G126/10/2</f>
        <v>22</v>
      </c>
      <c r="Q126">
        <f t="shared" si="28"/>
        <v>484</v>
      </c>
    </row>
    <row r="127" spans="2:29" x14ac:dyDescent="0.25">
      <c r="F127">
        <v>2060</v>
      </c>
      <c r="G127">
        <f t="shared" si="24"/>
        <v>2060</v>
      </c>
      <c r="H127">
        <f t="shared" si="25"/>
        <v>206</v>
      </c>
      <c r="I127">
        <f t="shared" si="26"/>
        <v>103</v>
      </c>
      <c r="J127">
        <f t="shared" si="27"/>
        <v>10609</v>
      </c>
      <c r="M127">
        <f>103*5*2^2</f>
        <v>2060</v>
      </c>
      <c r="N127" s="8" t="s">
        <v>90</v>
      </c>
      <c r="P127">
        <f>G127/10/2</f>
        <v>103</v>
      </c>
      <c r="Q127">
        <f t="shared" si="28"/>
        <v>10609</v>
      </c>
    </row>
    <row r="128" spans="2:29" x14ac:dyDescent="0.25">
      <c r="W128">
        <v>2</v>
      </c>
      <c r="X128">
        <f>SQRT(W128)</f>
        <v>1.4142135623730951</v>
      </c>
    </row>
    <row r="129" spans="5:24" x14ac:dyDescent="0.25">
      <c r="J129">
        <f>SUM(J123:J128)</f>
        <v>13730</v>
      </c>
      <c r="P129">
        <f>SUM(P123:P128)</f>
        <v>206</v>
      </c>
      <c r="Q129">
        <f>SUM(Q123:Q128)</f>
        <v>13730</v>
      </c>
      <c r="W129">
        <v>3</v>
      </c>
      <c r="X129">
        <f>SQRT(W129)</f>
        <v>1.7320508075688772</v>
      </c>
    </row>
    <row r="130" spans="5:24" x14ac:dyDescent="0.25">
      <c r="J130">
        <f>SQRT(J129)</f>
        <v>117.17508267545622</v>
      </c>
      <c r="R130">
        <f>2*5*1373</f>
        <v>13730</v>
      </c>
      <c r="S130">
        <f>SQRT(R130)</f>
        <v>117.17508267545622</v>
      </c>
    </row>
    <row r="131" spans="5:24" x14ac:dyDescent="0.25">
      <c r="W131">
        <f>W128/W129</f>
        <v>0.66666666666666663</v>
      </c>
      <c r="X131">
        <f>X128/X129</f>
        <v>0.81649658092772615</v>
      </c>
    </row>
    <row r="132" spans="5:24" x14ac:dyDescent="0.25">
      <c r="F132">
        <f>G132*H132</f>
        <v>117</v>
      </c>
      <c r="G132">
        <v>13</v>
      </c>
      <c r="H132">
        <f>I132/13</f>
        <v>9</v>
      </c>
      <c r="I132">
        <v>117</v>
      </c>
      <c r="J132">
        <f>I132^2</f>
        <v>13689</v>
      </c>
      <c r="K132">
        <v>41</v>
      </c>
      <c r="L132">
        <f>K132+J132</f>
        <v>13730</v>
      </c>
      <c r="M132">
        <f>L132/J132</f>
        <v>1.0029951055592081</v>
      </c>
      <c r="N132">
        <f>SQRT(M132)</f>
        <v>1.0014964331235574</v>
      </c>
      <c r="O132">
        <v>2340</v>
      </c>
      <c r="P132">
        <f>O132*N132</f>
        <v>2343.5016535091245</v>
      </c>
      <c r="W132">
        <f>SQRT(W131)</f>
        <v>0.81649658092772603</v>
      </c>
    </row>
    <row r="133" spans="5:24" x14ac:dyDescent="0.25">
      <c r="I133">
        <f>I132*20</f>
        <v>2340</v>
      </c>
      <c r="J133">
        <f>J132-J129</f>
        <v>-41</v>
      </c>
    </row>
    <row r="135" spans="5:24" x14ac:dyDescent="0.25">
      <c r="H135">
        <f>I135/2</f>
        <v>59</v>
      </c>
      <c r="I135">
        <v>118</v>
      </c>
      <c r="J135">
        <f>I135^2</f>
        <v>13924</v>
      </c>
      <c r="K135">
        <f>J135-J129</f>
        <v>194</v>
      </c>
      <c r="L135">
        <f>K135/2</f>
        <v>97</v>
      </c>
      <c r="M135">
        <f>L135/7</f>
        <v>13.857142857142858</v>
      </c>
    </row>
    <row r="136" spans="5:24" x14ac:dyDescent="0.25">
      <c r="I136">
        <f>I135*20</f>
        <v>2360</v>
      </c>
    </row>
    <row r="139" spans="5:24" x14ac:dyDescent="0.25">
      <c r="E139">
        <v>19</v>
      </c>
      <c r="F139">
        <v>1804</v>
      </c>
      <c r="H139">
        <f>SQRT(F139/F140)*E139</f>
        <v>18.994736112934024</v>
      </c>
      <c r="J139">
        <v>9020</v>
      </c>
      <c r="K139">
        <f>SQRT(J139)</f>
        <v>94.973680564670133</v>
      </c>
    </row>
    <row r="140" spans="5:24" x14ac:dyDescent="0.25">
      <c r="F140">
        <v>1805</v>
      </c>
      <c r="J140">
        <v>25</v>
      </c>
      <c r="N140">
        <f>2 * 5 * 7 * 7 * 7 * 7</f>
        <v>24010</v>
      </c>
    </row>
    <row r="141" spans="5:24" x14ac:dyDescent="0.25">
      <c r="J141">
        <f>J139/J140</f>
        <v>360.8</v>
      </c>
    </row>
    <row r="142" spans="5:24" x14ac:dyDescent="0.25">
      <c r="M142">
        <v>7</v>
      </c>
      <c r="N142">
        <f>M142^2</f>
        <v>49</v>
      </c>
      <c r="O142">
        <f>N142^2</f>
        <v>2401</v>
      </c>
    </row>
    <row r="148" spans="3:7" x14ac:dyDescent="0.25">
      <c r="D148">
        <v>2</v>
      </c>
    </row>
    <row r="149" spans="3:7" x14ac:dyDescent="0.25">
      <c r="D149">
        <v>5</v>
      </c>
      <c r="E149">
        <f>SQRT(D149)</f>
        <v>2.2360679774997898</v>
      </c>
    </row>
    <row r="150" spans="3:7" x14ac:dyDescent="0.25">
      <c r="D150">
        <f>D148/D149</f>
        <v>0.4</v>
      </c>
      <c r="E150">
        <f>D150*E149</f>
        <v>0.89442719099991597</v>
      </c>
    </row>
    <row r="151" spans="3:7" x14ac:dyDescent="0.25">
      <c r="C151">
        <v>4</v>
      </c>
    </row>
    <row r="152" spans="3:7" x14ac:dyDescent="0.25">
      <c r="C152">
        <v>5</v>
      </c>
    </row>
    <row r="153" spans="3:7" x14ac:dyDescent="0.25">
      <c r="C153">
        <f>C151/C152</f>
        <v>0.8</v>
      </c>
    </row>
    <row r="154" spans="3:7" x14ac:dyDescent="0.25">
      <c r="C154">
        <f>SQRT(C153)</f>
        <v>0.89442719099991586</v>
      </c>
      <c r="E154">
        <v>20</v>
      </c>
    </row>
    <row r="155" spans="3:7" x14ac:dyDescent="0.25">
      <c r="E155">
        <f>SQRT(E154)</f>
        <v>4.4721359549995796</v>
      </c>
      <c r="G155">
        <v>1</v>
      </c>
    </row>
    <row r="156" spans="3:7" x14ac:dyDescent="0.25">
      <c r="G156">
        <f>G155/E155</f>
        <v>0.22360679774997896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1E91-ED7C-475C-A636-9777A928839D}">
  <dimension ref="A3:O72"/>
  <sheetViews>
    <sheetView topLeftCell="C36" workbookViewId="0">
      <selection activeCell="H72" sqref="H72"/>
    </sheetView>
  </sheetViews>
  <sheetFormatPr defaultRowHeight="15" x14ac:dyDescent="0.25"/>
  <sheetData>
    <row r="3" spans="1:7" x14ac:dyDescent="0.25">
      <c r="A3" s="11">
        <v>2</v>
      </c>
      <c r="B3" s="11">
        <v>4</v>
      </c>
      <c r="C3" s="11">
        <v>5</v>
      </c>
      <c r="D3">
        <f>B3/C3</f>
        <v>0.8</v>
      </c>
      <c r="E3">
        <f>SQRT(D3)</f>
        <v>0.89442719099991586</v>
      </c>
      <c r="F3">
        <f>E3*A3</f>
        <v>1.7888543819998317</v>
      </c>
      <c r="G3">
        <f>F3*D3</f>
        <v>1.4310835055998654</v>
      </c>
    </row>
    <row r="4" spans="1:7" x14ac:dyDescent="0.25">
      <c r="A4" s="11">
        <v>2</v>
      </c>
      <c r="B4" s="11">
        <v>4</v>
      </c>
      <c r="C4" s="11">
        <v>5</v>
      </c>
      <c r="D4">
        <f t="shared" ref="D4" si="0">B4/C4</f>
        <v>0.8</v>
      </c>
      <c r="E4">
        <f t="shared" ref="E4" si="1">SQRT(D4)</f>
        <v>0.89442719099991586</v>
      </c>
      <c r="F4">
        <f t="shared" ref="F4" si="2">E4*A4</f>
        <v>1.7888543819998317</v>
      </c>
      <c r="G4">
        <f t="shared" ref="G4" si="3">F4*D4</f>
        <v>1.4310835055998654</v>
      </c>
    </row>
    <row r="13" spans="1:7" x14ac:dyDescent="0.25">
      <c r="B13">
        <f t="shared" ref="B13" si="4">B14-1</f>
        <v>1</v>
      </c>
      <c r="C13">
        <f t="shared" ref="C13:C16" si="5">SQRT(B13)</f>
        <v>1</v>
      </c>
      <c r="D13">
        <f t="shared" ref="D13" si="6">C13/B13</f>
        <v>1</v>
      </c>
    </row>
    <row r="14" spans="1:7" x14ac:dyDescent="0.25">
      <c r="B14">
        <f t="shared" ref="B14:B15" si="7">B15-1</f>
        <v>2</v>
      </c>
      <c r="C14">
        <f t="shared" si="5"/>
        <v>1.4142135623730951</v>
      </c>
      <c r="D14">
        <f t="shared" ref="D14:D16" si="8">C14/B14</f>
        <v>0.70710678118654757</v>
      </c>
    </row>
    <row r="15" spans="1:7" x14ac:dyDescent="0.25">
      <c r="B15">
        <f t="shared" si="7"/>
        <v>3</v>
      </c>
      <c r="C15">
        <f t="shared" si="5"/>
        <v>1.7320508075688772</v>
      </c>
      <c r="D15">
        <f t="shared" si="8"/>
        <v>0.57735026918962573</v>
      </c>
    </row>
    <row r="16" spans="1:7" x14ac:dyDescent="0.25">
      <c r="B16">
        <f>B17-1</f>
        <v>4</v>
      </c>
      <c r="C16">
        <f t="shared" si="5"/>
        <v>2</v>
      </c>
      <c r="D16">
        <f t="shared" si="8"/>
        <v>0.5</v>
      </c>
    </row>
    <row r="17" spans="2:4" x14ac:dyDescent="0.25">
      <c r="B17">
        <v>5</v>
      </c>
      <c r="C17">
        <f>SQRT(B17)</f>
        <v>2.2360679774997898</v>
      </c>
      <c r="D17">
        <f>C17/B17</f>
        <v>0.44721359549995798</v>
      </c>
    </row>
    <row r="18" spans="2:4" x14ac:dyDescent="0.25">
      <c r="B18">
        <f>B17+1</f>
        <v>6</v>
      </c>
      <c r="C18">
        <f t="shared" ref="C18:C58" si="9">SQRT(B18)</f>
        <v>2.4494897427831779</v>
      </c>
      <c r="D18">
        <f t="shared" ref="D18:D27" si="10">C18/B18</f>
        <v>0.40824829046386296</v>
      </c>
    </row>
    <row r="19" spans="2:4" x14ac:dyDescent="0.25">
      <c r="B19">
        <f t="shared" ref="B19:B27" si="11">B18+1</f>
        <v>7</v>
      </c>
      <c r="C19">
        <f t="shared" si="9"/>
        <v>2.6457513110645907</v>
      </c>
      <c r="D19">
        <f t="shared" si="10"/>
        <v>0.37796447300922725</v>
      </c>
    </row>
    <row r="20" spans="2:4" x14ac:dyDescent="0.25">
      <c r="B20">
        <f t="shared" si="11"/>
        <v>8</v>
      </c>
      <c r="C20">
        <f t="shared" si="9"/>
        <v>2.8284271247461903</v>
      </c>
      <c r="D20">
        <f t="shared" si="10"/>
        <v>0.35355339059327379</v>
      </c>
    </row>
    <row r="21" spans="2:4" x14ac:dyDescent="0.25">
      <c r="B21">
        <f t="shared" si="11"/>
        <v>9</v>
      </c>
      <c r="C21">
        <f t="shared" si="9"/>
        <v>3</v>
      </c>
      <c r="D21">
        <f t="shared" si="10"/>
        <v>0.33333333333333331</v>
      </c>
    </row>
    <row r="22" spans="2:4" x14ac:dyDescent="0.25">
      <c r="B22">
        <f t="shared" si="11"/>
        <v>10</v>
      </c>
      <c r="C22">
        <f t="shared" si="9"/>
        <v>3.1622776601683795</v>
      </c>
      <c r="D22">
        <f t="shared" si="10"/>
        <v>0.31622776601683794</v>
      </c>
    </row>
    <row r="23" spans="2:4" x14ac:dyDescent="0.25">
      <c r="B23">
        <f t="shared" si="11"/>
        <v>11</v>
      </c>
      <c r="C23">
        <f t="shared" si="9"/>
        <v>3.3166247903553998</v>
      </c>
      <c r="D23">
        <f t="shared" si="10"/>
        <v>0.30151134457776363</v>
      </c>
    </row>
    <row r="24" spans="2:4" x14ac:dyDescent="0.25">
      <c r="B24">
        <f t="shared" si="11"/>
        <v>12</v>
      </c>
      <c r="C24">
        <f t="shared" si="9"/>
        <v>3.4641016151377544</v>
      </c>
      <c r="D24">
        <f t="shared" si="10"/>
        <v>0.28867513459481287</v>
      </c>
    </row>
    <row r="25" spans="2:4" x14ac:dyDescent="0.25">
      <c r="B25">
        <f t="shared" si="11"/>
        <v>13</v>
      </c>
      <c r="C25">
        <f t="shared" si="9"/>
        <v>3.6055512754639891</v>
      </c>
      <c r="D25">
        <f t="shared" si="10"/>
        <v>0.27735009811261457</v>
      </c>
    </row>
    <row r="26" spans="2:4" x14ac:dyDescent="0.25">
      <c r="B26">
        <f t="shared" si="11"/>
        <v>14</v>
      </c>
      <c r="C26">
        <f t="shared" si="9"/>
        <v>3.7416573867739413</v>
      </c>
      <c r="D26">
        <f t="shared" si="10"/>
        <v>0.2672612419124244</v>
      </c>
    </row>
    <row r="27" spans="2:4" x14ac:dyDescent="0.25">
      <c r="B27">
        <f t="shared" si="11"/>
        <v>15</v>
      </c>
      <c r="C27">
        <f t="shared" si="9"/>
        <v>3.872983346207417</v>
      </c>
      <c r="D27">
        <f t="shared" si="10"/>
        <v>0.25819888974716115</v>
      </c>
    </row>
    <row r="28" spans="2:4" x14ac:dyDescent="0.25">
      <c r="B28">
        <f t="shared" ref="B28:B58" si="12">B27+1</f>
        <v>16</v>
      </c>
      <c r="C28">
        <f t="shared" si="9"/>
        <v>4</v>
      </c>
      <c r="D28">
        <f t="shared" ref="D28:D58" si="13">C28/B28</f>
        <v>0.25</v>
      </c>
    </row>
    <row r="29" spans="2:4" x14ac:dyDescent="0.25">
      <c r="B29">
        <f t="shared" si="12"/>
        <v>17</v>
      </c>
      <c r="C29">
        <f t="shared" si="9"/>
        <v>4.1231056256176606</v>
      </c>
      <c r="D29">
        <f t="shared" si="13"/>
        <v>0.24253562503633297</v>
      </c>
    </row>
    <row r="30" spans="2:4" x14ac:dyDescent="0.25">
      <c r="B30">
        <f t="shared" si="12"/>
        <v>18</v>
      </c>
      <c r="C30">
        <f t="shared" si="9"/>
        <v>4.2426406871192848</v>
      </c>
      <c r="D30">
        <f t="shared" si="13"/>
        <v>0.23570226039551581</v>
      </c>
    </row>
    <row r="31" spans="2:4" x14ac:dyDescent="0.25">
      <c r="B31">
        <f t="shared" si="12"/>
        <v>19</v>
      </c>
      <c r="C31">
        <f t="shared" si="9"/>
        <v>4.358898943540674</v>
      </c>
      <c r="D31">
        <f t="shared" si="13"/>
        <v>0.2294157338705618</v>
      </c>
    </row>
    <row r="32" spans="2:4" x14ac:dyDescent="0.25">
      <c r="B32">
        <f t="shared" si="12"/>
        <v>20</v>
      </c>
      <c r="C32">
        <f t="shared" si="9"/>
        <v>4.4721359549995796</v>
      </c>
      <c r="D32">
        <f t="shared" si="13"/>
        <v>0.22360679774997899</v>
      </c>
    </row>
    <row r="33" spans="2:15" x14ac:dyDescent="0.25">
      <c r="B33">
        <f t="shared" si="12"/>
        <v>21</v>
      </c>
      <c r="C33">
        <f t="shared" si="9"/>
        <v>4.5825756949558398</v>
      </c>
      <c r="D33">
        <f t="shared" si="13"/>
        <v>0.21821789023599236</v>
      </c>
    </row>
    <row r="34" spans="2:15" x14ac:dyDescent="0.25">
      <c r="B34">
        <f t="shared" si="12"/>
        <v>22</v>
      </c>
      <c r="C34">
        <f t="shared" si="9"/>
        <v>4.6904157598234297</v>
      </c>
      <c r="D34">
        <f t="shared" si="13"/>
        <v>0.21320071635561044</v>
      </c>
    </row>
    <row r="35" spans="2:15" x14ac:dyDescent="0.25">
      <c r="B35">
        <f t="shared" si="12"/>
        <v>23</v>
      </c>
      <c r="C35">
        <f t="shared" si="9"/>
        <v>4.7958315233127191</v>
      </c>
      <c r="D35">
        <f t="shared" si="13"/>
        <v>0.20851441405707474</v>
      </c>
    </row>
    <row r="36" spans="2:15" x14ac:dyDescent="0.25">
      <c r="B36">
        <f t="shared" si="12"/>
        <v>24</v>
      </c>
      <c r="C36">
        <f t="shared" si="9"/>
        <v>4.8989794855663558</v>
      </c>
      <c r="D36">
        <f t="shared" si="13"/>
        <v>0.20412414523193148</v>
      </c>
      <c r="F36">
        <v>4</v>
      </c>
      <c r="G36">
        <f>SQRT(F36)</f>
        <v>2</v>
      </c>
    </row>
    <row r="37" spans="2:15" x14ac:dyDescent="0.25">
      <c r="B37">
        <f t="shared" si="12"/>
        <v>25</v>
      </c>
      <c r="C37">
        <f t="shared" si="9"/>
        <v>5</v>
      </c>
      <c r="D37">
        <f t="shared" si="13"/>
        <v>0.2</v>
      </c>
      <c r="F37">
        <v>5</v>
      </c>
      <c r="G37">
        <f>SQRT(F37)</f>
        <v>2.2360679774997898</v>
      </c>
      <c r="I37">
        <f>F37/F36</f>
        <v>1.25</v>
      </c>
      <c r="J37">
        <f>G37/G36</f>
        <v>1.1180339887498949</v>
      </c>
    </row>
    <row r="38" spans="2:15" x14ac:dyDescent="0.25">
      <c r="B38">
        <f t="shared" si="12"/>
        <v>26</v>
      </c>
      <c r="C38">
        <f t="shared" si="9"/>
        <v>5.0990195135927845</v>
      </c>
      <c r="D38">
        <f t="shared" si="13"/>
        <v>0.19611613513818402</v>
      </c>
      <c r="F38">
        <f>F36/F37</f>
        <v>0.8</v>
      </c>
      <c r="J38" t="b">
        <f>J37=J39</f>
        <v>1</v>
      </c>
    </row>
    <row r="39" spans="2:15" x14ac:dyDescent="0.25">
      <c r="B39">
        <f t="shared" si="12"/>
        <v>27</v>
      </c>
      <c r="C39">
        <f t="shared" si="9"/>
        <v>5.196152422706632</v>
      </c>
      <c r="D39">
        <f t="shared" si="13"/>
        <v>0.19245008972987526</v>
      </c>
      <c r="F39">
        <f>SQRT(F38)</f>
        <v>0.89442719099991586</v>
      </c>
      <c r="G39">
        <f>G36/G37</f>
        <v>0.89442719099991586</v>
      </c>
      <c r="H39" t="b">
        <f>G39=F39</f>
        <v>1</v>
      </c>
      <c r="I39">
        <v>1</v>
      </c>
      <c r="J39">
        <f>I39/G39</f>
        <v>1.1180339887498949</v>
      </c>
    </row>
    <row r="40" spans="2:15" x14ac:dyDescent="0.25">
      <c r="B40">
        <f t="shared" si="12"/>
        <v>28</v>
      </c>
      <c r="C40">
        <f t="shared" si="9"/>
        <v>5.2915026221291814</v>
      </c>
      <c r="D40">
        <f t="shared" si="13"/>
        <v>0.18898223650461363</v>
      </c>
      <c r="F40">
        <v>2</v>
      </c>
    </row>
    <row r="41" spans="2:15" x14ac:dyDescent="0.25">
      <c r="B41">
        <f t="shared" si="12"/>
        <v>29</v>
      </c>
      <c r="C41">
        <f t="shared" si="9"/>
        <v>5.3851648071345037</v>
      </c>
      <c r="D41">
        <f t="shared" si="13"/>
        <v>0.18569533817705186</v>
      </c>
      <c r="F41">
        <f>F40*F39</f>
        <v>1.7888543819998317</v>
      </c>
      <c r="G41">
        <v>1</v>
      </c>
      <c r="H41">
        <f>G41/F41</f>
        <v>0.55901699437494745</v>
      </c>
      <c r="I41">
        <v>2</v>
      </c>
      <c r="J41">
        <f>I41*H41</f>
        <v>1.1180339887498949</v>
      </c>
      <c r="K41">
        <v>5</v>
      </c>
      <c r="L41">
        <f>J41/K41</f>
        <v>0.22360679774997899</v>
      </c>
    </row>
    <row r="42" spans="2:15" x14ac:dyDescent="0.25">
      <c r="B42">
        <f t="shared" si="12"/>
        <v>30</v>
      </c>
      <c r="C42">
        <f t="shared" si="9"/>
        <v>5.4772255750516612</v>
      </c>
      <c r="D42">
        <f t="shared" si="13"/>
        <v>0.18257418583505539</v>
      </c>
      <c r="F42">
        <f>F38*F41</f>
        <v>1.4310835055998654</v>
      </c>
      <c r="H42">
        <f>H41*I53</f>
        <v>0.1118033988749895</v>
      </c>
    </row>
    <row r="43" spans="2:15" x14ac:dyDescent="0.25">
      <c r="B43">
        <f t="shared" si="12"/>
        <v>31</v>
      </c>
      <c r="C43">
        <f t="shared" si="9"/>
        <v>5.5677643628300215</v>
      </c>
      <c r="D43">
        <f t="shared" si="13"/>
        <v>0.17960530202677488</v>
      </c>
    </row>
    <row r="44" spans="2:15" x14ac:dyDescent="0.25">
      <c r="B44">
        <f t="shared" si="12"/>
        <v>32</v>
      </c>
      <c r="C44">
        <f t="shared" si="9"/>
        <v>5.6568542494923806</v>
      </c>
      <c r="D44">
        <f t="shared" si="13"/>
        <v>0.17677669529663689</v>
      </c>
      <c r="F44">
        <v>5</v>
      </c>
      <c r="H44">
        <v>2</v>
      </c>
      <c r="O44" t="s">
        <v>91</v>
      </c>
    </row>
    <row r="45" spans="2:15" x14ac:dyDescent="0.25">
      <c r="B45">
        <f t="shared" si="12"/>
        <v>33</v>
      </c>
      <c r="C45">
        <f t="shared" si="9"/>
        <v>5.7445626465380286</v>
      </c>
      <c r="D45">
        <f t="shared" si="13"/>
        <v>0.17407765595569782</v>
      </c>
      <c r="F45" s="20">
        <f>SQRT(F44)/F44</f>
        <v>0.44721359549995798</v>
      </c>
      <c r="G45" t="b">
        <f>F45=O45</f>
        <v>1</v>
      </c>
      <c r="H45">
        <v>5</v>
      </c>
      <c r="I45">
        <f>H44/H45</f>
        <v>0.4</v>
      </c>
      <c r="K45">
        <v>1</v>
      </c>
      <c r="L45">
        <v>2</v>
      </c>
      <c r="M45">
        <f>L45*F39</f>
        <v>1.7888543819998317</v>
      </c>
      <c r="N45">
        <f>K45/M45</f>
        <v>0.55901699437494745</v>
      </c>
      <c r="O45" s="20">
        <f>N45*F38</f>
        <v>0.44721359549995798</v>
      </c>
    </row>
    <row r="46" spans="2:15" x14ac:dyDescent="0.25">
      <c r="B46">
        <f t="shared" si="12"/>
        <v>34</v>
      </c>
      <c r="C46">
        <f t="shared" si="9"/>
        <v>5.8309518948453007</v>
      </c>
      <c r="D46">
        <f t="shared" si="13"/>
        <v>0.17149858514250885</v>
      </c>
    </row>
    <row r="47" spans="2:15" x14ac:dyDescent="0.25">
      <c r="B47">
        <f t="shared" si="12"/>
        <v>35</v>
      </c>
      <c r="C47">
        <f t="shared" si="9"/>
        <v>5.9160797830996161</v>
      </c>
      <c r="D47">
        <f t="shared" si="13"/>
        <v>0.16903085094570333</v>
      </c>
      <c r="F47">
        <v>5</v>
      </c>
    </row>
    <row r="48" spans="2:15" x14ac:dyDescent="0.25">
      <c r="B48">
        <f t="shared" si="12"/>
        <v>36</v>
      </c>
      <c r="C48">
        <f t="shared" si="9"/>
        <v>6</v>
      </c>
      <c r="D48">
        <f t="shared" si="13"/>
        <v>0.16666666666666666</v>
      </c>
      <c r="F48">
        <f>SQRT(F47)</f>
        <v>2.2360679774997898</v>
      </c>
      <c r="H48">
        <v>4</v>
      </c>
    </row>
    <row r="49" spans="2:10" x14ac:dyDescent="0.25">
      <c r="B49">
        <f t="shared" si="12"/>
        <v>37</v>
      </c>
      <c r="C49">
        <f t="shared" si="9"/>
        <v>6.0827625302982193</v>
      </c>
      <c r="D49">
        <f t="shared" si="13"/>
        <v>0.16439898730535729</v>
      </c>
      <c r="F49">
        <v>4</v>
      </c>
      <c r="H49">
        <v>5</v>
      </c>
    </row>
    <row r="50" spans="2:10" x14ac:dyDescent="0.25">
      <c r="B50">
        <f t="shared" si="12"/>
        <v>38</v>
      </c>
      <c r="C50">
        <f t="shared" si="9"/>
        <v>6.164414002968976</v>
      </c>
      <c r="D50">
        <f t="shared" si="13"/>
        <v>0.16222142113076252</v>
      </c>
      <c r="F50">
        <f>SQRT(F49)</f>
        <v>2</v>
      </c>
    </row>
    <row r="51" spans="2:10" x14ac:dyDescent="0.25">
      <c r="B51">
        <f t="shared" si="12"/>
        <v>39</v>
      </c>
      <c r="C51">
        <f t="shared" si="9"/>
        <v>6.2449979983983983</v>
      </c>
      <c r="D51">
        <f t="shared" si="13"/>
        <v>0.16012815380508713</v>
      </c>
      <c r="F51">
        <f>F48/F50</f>
        <v>1.1180339887498949</v>
      </c>
    </row>
    <row r="52" spans="2:10" x14ac:dyDescent="0.25">
      <c r="B52">
        <f t="shared" si="12"/>
        <v>40</v>
      </c>
      <c r="C52">
        <f t="shared" si="9"/>
        <v>6.324555320336759</v>
      </c>
      <c r="D52">
        <f t="shared" si="13"/>
        <v>0.15811388300841897</v>
      </c>
      <c r="H52">
        <v>1</v>
      </c>
    </row>
    <row r="53" spans="2:10" x14ac:dyDescent="0.25">
      <c r="B53">
        <f t="shared" si="12"/>
        <v>41</v>
      </c>
      <c r="C53">
        <f t="shared" si="9"/>
        <v>6.4031242374328485</v>
      </c>
      <c r="D53">
        <f t="shared" si="13"/>
        <v>0.15617376188860607</v>
      </c>
      <c r="H53">
        <v>5</v>
      </c>
      <c r="I53">
        <f>H52/H53</f>
        <v>0.2</v>
      </c>
      <c r="J53" s="21">
        <f>I53*H41</f>
        <v>0.1118033988749895</v>
      </c>
    </row>
    <row r="54" spans="2:10" x14ac:dyDescent="0.25">
      <c r="B54">
        <f t="shared" si="12"/>
        <v>42</v>
      </c>
      <c r="C54">
        <f t="shared" si="9"/>
        <v>6.4807406984078604</v>
      </c>
      <c r="D54">
        <f t="shared" si="13"/>
        <v>0.15430334996209191</v>
      </c>
      <c r="F54">
        <v>500</v>
      </c>
    </row>
    <row r="55" spans="2:10" x14ac:dyDescent="0.25">
      <c r="B55">
        <f t="shared" si="12"/>
        <v>43</v>
      </c>
      <c r="C55">
        <f t="shared" si="9"/>
        <v>6.5574385243020004</v>
      </c>
      <c r="D55">
        <f t="shared" si="13"/>
        <v>0.15249857033260467</v>
      </c>
      <c r="F55">
        <f>SQRT(F54)</f>
        <v>22.360679774997898</v>
      </c>
    </row>
    <row r="56" spans="2:10" x14ac:dyDescent="0.25">
      <c r="B56">
        <f t="shared" si="12"/>
        <v>44</v>
      </c>
      <c r="C56">
        <f t="shared" si="9"/>
        <v>6.6332495807107996</v>
      </c>
      <c r="D56">
        <f t="shared" si="13"/>
        <v>0.15075567228888181</v>
      </c>
      <c r="F56">
        <v>400</v>
      </c>
    </row>
    <row r="57" spans="2:10" x14ac:dyDescent="0.25">
      <c r="B57">
        <f t="shared" si="12"/>
        <v>45</v>
      </c>
      <c r="C57">
        <f t="shared" si="9"/>
        <v>6.7082039324993694</v>
      </c>
      <c r="D57">
        <f t="shared" si="13"/>
        <v>0.14907119849998599</v>
      </c>
      <c r="F57">
        <f>SQRT(F56)</f>
        <v>20</v>
      </c>
    </row>
    <row r="58" spans="2:10" x14ac:dyDescent="0.25">
      <c r="B58">
        <f t="shared" si="12"/>
        <v>46</v>
      </c>
      <c r="C58">
        <f t="shared" si="9"/>
        <v>6.7823299831252681</v>
      </c>
      <c r="D58">
        <f t="shared" si="13"/>
        <v>0.14744195615489714</v>
      </c>
    </row>
    <row r="60" spans="2:10" x14ac:dyDescent="0.25">
      <c r="F60">
        <v>8</v>
      </c>
    </row>
    <row r="61" spans="2:10" x14ac:dyDescent="0.25">
      <c r="F61">
        <f>SQRT(F60)</f>
        <v>2.8284271247461903</v>
      </c>
    </row>
    <row r="66" spans="6:10" x14ac:dyDescent="0.25">
      <c r="G66">
        <v>4</v>
      </c>
    </row>
    <row r="67" spans="6:10" x14ac:dyDescent="0.25">
      <c r="G67">
        <v>5</v>
      </c>
    </row>
    <row r="68" spans="6:10" x14ac:dyDescent="0.25">
      <c r="F68">
        <v>2</v>
      </c>
      <c r="G68">
        <f>F68*SQRT(G66/G67)</f>
        <v>1.7888543819998317</v>
      </c>
      <c r="H68">
        <v>1</v>
      </c>
      <c r="I68">
        <v>5</v>
      </c>
    </row>
    <row r="69" spans="6:10" x14ac:dyDescent="0.25">
      <c r="H69">
        <f>H68/G68</f>
        <v>0.55901699437494745</v>
      </c>
      <c r="I69">
        <f>H69*J69</f>
        <v>0.1118033988749895</v>
      </c>
      <c r="J69">
        <f>H68/I68</f>
        <v>0.2</v>
      </c>
    </row>
    <row r="71" spans="6:10" x14ac:dyDescent="0.25">
      <c r="F71">
        <v>80</v>
      </c>
    </row>
    <row r="72" spans="6:10" x14ac:dyDescent="0.25">
      <c r="F72">
        <f>SQRT(F71)</f>
        <v>8.9442719099991592</v>
      </c>
      <c r="G72">
        <v>1</v>
      </c>
      <c r="H72">
        <f>G72/F72</f>
        <v>0.11180339887498948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3844-AF00-4659-9CA6-FDAA4D3C4028}">
  <dimension ref="A2:T33"/>
  <sheetViews>
    <sheetView tabSelected="1" topLeftCell="G1" workbookViewId="0">
      <selection activeCell="Q13" sqref="Q13"/>
    </sheetView>
  </sheetViews>
  <sheetFormatPr defaultRowHeight="15" x14ac:dyDescent="0.25"/>
  <sheetData>
    <row r="2" spans="1:19" x14ac:dyDescent="0.25">
      <c r="K2">
        <v>4</v>
      </c>
    </row>
    <row r="3" spans="1:19" x14ac:dyDescent="0.25">
      <c r="K3">
        <v>5</v>
      </c>
    </row>
    <row r="4" spans="1:19" x14ac:dyDescent="0.25">
      <c r="K4">
        <f>K2/K3</f>
        <v>0.8</v>
      </c>
    </row>
    <row r="5" spans="1:19" x14ac:dyDescent="0.25">
      <c r="J5">
        <v>2</v>
      </c>
      <c r="K5">
        <f>SQRT(K4)</f>
        <v>0.89442719099991586</v>
      </c>
    </row>
    <row r="6" spans="1:19" x14ac:dyDescent="0.25">
      <c r="J6">
        <v>1</v>
      </c>
      <c r="K6">
        <f>K5*J5</f>
        <v>1.7888543819998317</v>
      </c>
    </row>
    <row r="7" spans="1:19" x14ac:dyDescent="0.25">
      <c r="E7">
        <v>1</v>
      </c>
      <c r="J7">
        <f>K4</f>
        <v>0.8</v>
      </c>
      <c r="K7">
        <f>J6/K6</f>
        <v>0.55901699437494745</v>
      </c>
      <c r="Q7">
        <v>1</v>
      </c>
    </row>
    <row r="8" spans="1:19" x14ac:dyDescent="0.25">
      <c r="E8">
        <v>1804</v>
      </c>
      <c r="K8">
        <f>K7*J7</f>
        <v>0.44721359549995798</v>
      </c>
      <c r="Q8">
        <v>117</v>
      </c>
    </row>
    <row r="9" spans="1:19" x14ac:dyDescent="0.25">
      <c r="B9" t="str">
        <f>C17</f>
        <v>x_1</v>
      </c>
      <c r="E9">
        <v>1805</v>
      </c>
      <c r="F9" t="str">
        <f>D17</f>
        <v>x_2</v>
      </c>
      <c r="I9" t="str">
        <f>E17</f>
        <v>x_3</v>
      </c>
      <c r="L9" t="str">
        <f>F17</f>
        <v>x_4</v>
      </c>
      <c r="O9" t="str">
        <f>G17</f>
        <v>x_5</v>
      </c>
      <c r="Q9">
        <v>13730</v>
      </c>
      <c r="R9" t="str">
        <f>H17</f>
        <v>y</v>
      </c>
    </row>
    <row r="10" spans="1:19" x14ac:dyDescent="0.25">
      <c r="E10">
        <f>SQRT(E8/E9)</f>
        <v>0.99972295331231709</v>
      </c>
      <c r="K10">
        <v>1</v>
      </c>
      <c r="N10">
        <v>1</v>
      </c>
      <c r="Q10">
        <v>13689</v>
      </c>
    </row>
    <row r="11" spans="1:19" x14ac:dyDescent="0.25">
      <c r="A11">
        <v>1</v>
      </c>
      <c r="B11" s="7">
        <v>1</v>
      </c>
      <c r="C11" s="23">
        <f>B11*A$13</f>
        <v>0.5</v>
      </c>
      <c r="E11">
        <v>95</v>
      </c>
      <c r="F11" s="7">
        <v>29</v>
      </c>
      <c r="G11" s="23">
        <f>F11*E$13</f>
        <v>0.30534775347842946</v>
      </c>
      <c r="H11">
        <v>1</v>
      </c>
      <c r="I11" s="7">
        <v>1</v>
      </c>
      <c r="J11" s="23">
        <f>I11*H$13</f>
        <v>0.5</v>
      </c>
      <c r="K11">
        <v>20</v>
      </c>
      <c r="L11" s="7">
        <v>-1</v>
      </c>
      <c r="M11" s="23">
        <f>L11*K$13</f>
        <v>-0.22360679774997896</v>
      </c>
      <c r="N11">
        <v>80</v>
      </c>
      <c r="O11" s="7">
        <v>1</v>
      </c>
      <c r="P11" s="23">
        <f>O11*N$13</f>
        <v>0.11180339887498948</v>
      </c>
      <c r="Q11">
        <f>SQRT(Q9/Q10)</f>
        <v>1.0014964331235574</v>
      </c>
      <c r="R11" s="7">
        <v>-12</v>
      </c>
      <c r="S11" s="23">
        <f>R11*Q$13</f>
        <v>-0.10241085157359613</v>
      </c>
    </row>
    <row r="12" spans="1:19" x14ac:dyDescent="0.25">
      <c r="A12">
        <v>2</v>
      </c>
      <c r="B12" s="7">
        <v>-1</v>
      </c>
      <c r="C12" s="23">
        <f t="shared" ref="C12:C15" si="0">B12*A$13</f>
        <v>-0.5</v>
      </c>
      <c r="E12">
        <f>E11*E10</f>
        <v>94.973680564670119</v>
      </c>
      <c r="F12" s="7">
        <v>-76</v>
      </c>
      <c r="G12" s="23">
        <f t="shared" ref="G12:G15" si="1">F12*E$13</f>
        <v>-0.80022169877105653</v>
      </c>
      <c r="H12">
        <v>2</v>
      </c>
      <c r="I12" s="7">
        <v>-1</v>
      </c>
      <c r="J12" s="23">
        <f t="shared" ref="J12:J15" si="2">I12*H$13</f>
        <v>-0.5</v>
      </c>
      <c r="K12">
        <f>SQRT(K11)</f>
        <v>4.4721359549995796</v>
      </c>
      <c r="L12" s="7">
        <v>-1</v>
      </c>
      <c r="M12" s="23">
        <f t="shared" ref="M12:M15" si="3">L12*K$13</f>
        <v>-0.22360679774997896</v>
      </c>
      <c r="N12">
        <f>SQRT(N11)</f>
        <v>8.9442719099991592</v>
      </c>
      <c r="O12" s="7">
        <v>1</v>
      </c>
      <c r="P12" s="23">
        <f t="shared" ref="P12:P15" si="4">O12*N$13</f>
        <v>0.11180339887498948</v>
      </c>
      <c r="Q12">
        <f>Q11*Q8</f>
        <v>117.17508267545621</v>
      </c>
      <c r="R12" s="7">
        <v>-42</v>
      </c>
      <c r="S12" s="23">
        <f t="shared" ref="S12:S15" si="5">R12*Q$13</f>
        <v>-0.35843798050758646</v>
      </c>
    </row>
    <row r="13" spans="1:19" x14ac:dyDescent="0.25">
      <c r="A13" s="20">
        <f>A11/A12</f>
        <v>0.5</v>
      </c>
      <c r="B13" s="7">
        <v>0</v>
      </c>
      <c r="C13" s="23">
        <f t="shared" si="0"/>
        <v>0</v>
      </c>
      <c r="E13" s="20">
        <f>E7/E12</f>
        <v>1.0529232878566533E-2</v>
      </c>
      <c r="F13" s="7">
        <v>-1</v>
      </c>
      <c r="G13" s="23">
        <f t="shared" si="1"/>
        <v>-1.0529232878566533E-2</v>
      </c>
      <c r="H13" s="20">
        <f>H11/H12</f>
        <v>0.5</v>
      </c>
      <c r="I13" s="7">
        <v>0</v>
      </c>
      <c r="J13" s="23">
        <f t="shared" si="2"/>
        <v>0</v>
      </c>
      <c r="K13" s="20">
        <f>K10/K12</f>
        <v>0.22360679774997896</v>
      </c>
      <c r="L13" s="7">
        <v>-1</v>
      </c>
      <c r="M13" s="23">
        <f t="shared" si="3"/>
        <v>-0.22360679774997896</v>
      </c>
      <c r="N13" s="20">
        <f>N10/N12</f>
        <v>0.11180339887498948</v>
      </c>
      <c r="O13" s="7">
        <v>1</v>
      </c>
      <c r="P13" s="23">
        <f t="shared" si="4"/>
        <v>0.11180339887498948</v>
      </c>
      <c r="Q13" s="20">
        <f>Q7/Q12</f>
        <v>8.5342376311330105E-3</v>
      </c>
      <c r="R13" s="7">
        <v>-27</v>
      </c>
      <c r="S13" s="23">
        <f t="shared" si="5"/>
        <v>-0.23042441604059127</v>
      </c>
    </row>
    <row r="14" spans="1:19" x14ac:dyDescent="0.25">
      <c r="B14" s="7">
        <v>1</v>
      </c>
      <c r="C14" s="23">
        <f t="shared" si="0"/>
        <v>0.5</v>
      </c>
      <c r="F14" s="7">
        <v>49</v>
      </c>
      <c r="G14" s="23">
        <f t="shared" si="1"/>
        <v>0.51593241104976018</v>
      </c>
      <c r="I14" s="7">
        <v>-1</v>
      </c>
      <c r="J14" s="23">
        <f t="shared" si="2"/>
        <v>-0.5</v>
      </c>
      <c r="L14" s="7">
        <v>-1</v>
      </c>
      <c r="M14" s="23">
        <f t="shared" si="3"/>
        <v>-0.22360679774997896</v>
      </c>
      <c r="O14" s="7">
        <v>1</v>
      </c>
      <c r="P14" s="23">
        <f t="shared" si="4"/>
        <v>0.11180339887498948</v>
      </c>
      <c r="R14" s="7">
        <v>-22</v>
      </c>
      <c r="S14" s="23">
        <f t="shared" si="5"/>
        <v>-0.18775322788492624</v>
      </c>
    </row>
    <row r="15" spans="1:19" x14ac:dyDescent="0.25">
      <c r="B15" s="7">
        <v>-1</v>
      </c>
      <c r="C15" s="23">
        <f t="shared" si="0"/>
        <v>-0.5</v>
      </c>
      <c r="F15" s="7">
        <v>-1</v>
      </c>
      <c r="G15" s="23">
        <f t="shared" si="1"/>
        <v>-1.0529232878566533E-2</v>
      </c>
      <c r="I15" s="7">
        <v>1</v>
      </c>
      <c r="J15" s="23">
        <f t="shared" si="2"/>
        <v>0.5</v>
      </c>
      <c r="L15" s="7">
        <v>4</v>
      </c>
      <c r="M15" s="23">
        <f t="shared" si="3"/>
        <v>0.89442719099991586</v>
      </c>
      <c r="O15" s="7">
        <v>-4</v>
      </c>
      <c r="P15" s="23">
        <f t="shared" si="4"/>
        <v>-0.44721359549995793</v>
      </c>
      <c r="R15" s="7">
        <v>103</v>
      </c>
      <c r="S15" s="23">
        <f t="shared" si="5"/>
        <v>0.87902647600670003</v>
      </c>
    </row>
    <row r="17" spans="1:20" x14ac:dyDescent="0.25"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</row>
    <row r="19" spans="1:20" x14ac:dyDescent="0.25">
      <c r="C19" s="24">
        <f>C11</f>
        <v>0.5</v>
      </c>
      <c r="D19" s="24">
        <f>G11</f>
        <v>0.30534775347842946</v>
      </c>
      <c r="E19" s="24">
        <f>J11</f>
        <v>0.5</v>
      </c>
      <c r="F19" s="24">
        <f>M11</f>
        <v>-0.22360679774997896</v>
      </c>
      <c r="G19" s="24">
        <f>P11</f>
        <v>0.11180339887498948</v>
      </c>
      <c r="H19" s="24">
        <f>S11</f>
        <v>-0.10241085157359613</v>
      </c>
      <c r="J19" t="str">
        <f>C19&amp;" &amp; "&amp;D19</f>
        <v>0.5 &amp; 0.305347753478429</v>
      </c>
    </row>
    <row r="20" spans="1:20" x14ac:dyDescent="0.25">
      <c r="C20" s="24">
        <f t="shared" ref="C20:C23" si="6">C12</f>
        <v>-0.5</v>
      </c>
      <c r="D20" s="24">
        <f t="shared" ref="D20:D23" si="7">G12</f>
        <v>-0.80022169877105653</v>
      </c>
      <c r="E20" s="24">
        <f t="shared" ref="E20:E23" si="8">J12</f>
        <v>-0.5</v>
      </c>
      <c r="F20" s="24">
        <f t="shared" ref="F20:F23" si="9">M12</f>
        <v>-0.22360679774997896</v>
      </c>
      <c r="G20" s="24">
        <f t="shared" ref="G20:G23" si="10">P12</f>
        <v>0.11180339887498948</v>
      </c>
      <c r="H20" s="24">
        <f t="shared" ref="H20:H23" si="11">S12</f>
        <v>-0.35843798050758646</v>
      </c>
    </row>
    <row r="21" spans="1:20" x14ac:dyDescent="0.25">
      <c r="C21" s="24">
        <f t="shared" si="6"/>
        <v>0</v>
      </c>
      <c r="D21" s="24">
        <f t="shared" si="7"/>
        <v>-1.0529232878566533E-2</v>
      </c>
      <c r="E21" s="24">
        <f t="shared" si="8"/>
        <v>0</v>
      </c>
      <c r="F21" s="24">
        <f t="shared" si="9"/>
        <v>-0.22360679774997896</v>
      </c>
      <c r="G21" s="24">
        <f t="shared" si="10"/>
        <v>0.11180339887498948</v>
      </c>
      <c r="H21" s="24">
        <f t="shared" si="11"/>
        <v>-0.23042441604059127</v>
      </c>
    </row>
    <row r="22" spans="1:20" x14ac:dyDescent="0.25">
      <c r="C22" s="24">
        <f t="shared" si="6"/>
        <v>0.5</v>
      </c>
      <c r="D22" s="24">
        <f t="shared" si="7"/>
        <v>0.51593241104976018</v>
      </c>
      <c r="E22" s="24">
        <f t="shared" si="8"/>
        <v>-0.5</v>
      </c>
      <c r="F22" s="24">
        <f t="shared" si="9"/>
        <v>-0.22360679774997896</v>
      </c>
      <c r="G22" s="24">
        <f t="shared" si="10"/>
        <v>0.11180339887498948</v>
      </c>
      <c r="H22" s="24">
        <f t="shared" si="11"/>
        <v>-0.18775322788492624</v>
      </c>
    </row>
    <row r="23" spans="1:20" x14ac:dyDescent="0.25">
      <c r="C23" s="24">
        <f t="shared" si="6"/>
        <v>-0.5</v>
      </c>
      <c r="D23" s="24">
        <f t="shared" si="7"/>
        <v>-1.0529232878566533E-2</v>
      </c>
      <c r="E23" s="24">
        <f t="shared" si="8"/>
        <v>0.5</v>
      </c>
      <c r="F23" s="24">
        <f t="shared" si="9"/>
        <v>0.89442719099991586</v>
      </c>
      <c r="G23" s="24">
        <f t="shared" si="10"/>
        <v>-0.44721359549995793</v>
      </c>
      <c r="H23" s="24">
        <f t="shared" si="11"/>
        <v>0.87902647600670003</v>
      </c>
    </row>
    <row r="24" spans="1:20" x14ac:dyDescent="0.25">
      <c r="C24" s="22"/>
      <c r="D24" s="22"/>
      <c r="E24" s="22"/>
      <c r="F24" s="22"/>
      <c r="G24" s="22"/>
      <c r="H24" s="22"/>
      <c r="S24">
        <f>1/5</f>
        <v>0.2</v>
      </c>
      <c r="T24">
        <f>0-S24</f>
        <v>-0.2</v>
      </c>
    </row>
    <row r="25" spans="1:20" x14ac:dyDescent="0.25">
      <c r="C25" s="22">
        <f>SUM(C19:C24)</f>
        <v>0</v>
      </c>
      <c r="D25" s="22">
        <f t="shared" ref="D25:H25" si="12">SUM(D19:D24)</f>
        <v>1.9081958235744878E-17</v>
      </c>
      <c r="E25" s="22">
        <f t="shared" si="12"/>
        <v>0</v>
      </c>
      <c r="F25" s="22">
        <f t="shared" si="12"/>
        <v>0</v>
      </c>
      <c r="G25" s="22">
        <f t="shared" si="12"/>
        <v>0</v>
      </c>
      <c r="H25" s="22">
        <f t="shared" si="12"/>
        <v>0</v>
      </c>
    </row>
    <row r="26" spans="1:20" x14ac:dyDescent="0.25">
      <c r="R26">
        <f>4/5</f>
        <v>0.8</v>
      </c>
    </row>
    <row r="27" spans="1:20" x14ac:dyDescent="0.25">
      <c r="A27" s="26">
        <v>4</v>
      </c>
      <c r="C27" s="25">
        <f>ROUND(C19,$A$27)</f>
        <v>0.5</v>
      </c>
      <c r="D27" s="25">
        <f t="shared" ref="D27:H27" si="13">ROUND(D19,$A$27)</f>
        <v>0.30530000000000002</v>
      </c>
      <c r="E27" s="25">
        <f t="shared" si="13"/>
        <v>0.5</v>
      </c>
      <c r="F27" s="25">
        <f t="shared" si="13"/>
        <v>-0.22359999999999999</v>
      </c>
      <c r="G27" s="25">
        <f t="shared" si="13"/>
        <v>0.1118</v>
      </c>
      <c r="H27" s="25">
        <f t="shared" si="13"/>
        <v>-0.1024</v>
      </c>
      <c r="J27" t="str">
        <f>C27&amp;" &amp; "&amp;D27&amp;" &amp; "&amp;E27&amp;" &amp; "&amp;F27&amp;" &amp; "&amp;G27&amp;" &amp; "&amp;H27</f>
        <v>0.5 &amp; 0.3053 &amp; 0.5 &amp; -0.2236 &amp; 0.1118 &amp; -0.1024</v>
      </c>
      <c r="R27">
        <f>R26/S24</f>
        <v>4</v>
      </c>
    </row>
    <row r="28" spans="1:20" x14ac:dyDescent="0.25">
      <c r="C28" s="25">
        <f t="shared" ref="C28:H28" si="14">ROUND(C20,$A$27)</f>
        <v>-0.5</v>
      </c>
      <c r="D28" s="25">
        <f t="shared" si="14"/>
        <v>-0.80020000000000002</v>
      </c>
      <c r="E28" s="25">
        <f t="shared" si="14"/>
        <v>-0.5</v>
      </c>
      <c r="F28" s="25">
        <f t="shared" si="14"/>
        <v>-0.22359999999999999</v>
      </c>
      <c r="G28" s="25">
        <f t="shared" si="14"/>
        <v>0.1118</v>
      </c>
      <c r="H28" s="25">
        <f t="shared" si="14"/>
        <v>-0.3584</v>
      </c>
      <c r="J28" t="str">
        <f t="shared" ref="J28:J31" si="15">C28&amp;" &amp; "&amp;D28&amp;" &amp; "&amp;E28&amp;" &amp; "&amp;F28&amp;" &amp; "&amp;G28&amp;" &amp; "&amp;H28</f>
        <v>-0.5 &amp; -0.8002 &amp; -0.5 &amp; -0.2236 &amp; 0.1118 &amp; -0.3584</v>
      </c>
    </row>
    <row r="29" spans="1:20" x14ac:dyDescent="0.25">
      <c r="C29" s="25">
        <f t="shared" ref="C29:H29" si="16">ROUND(C21,$A$27)</f>
        <v>0</v>
      </c>
      <c r="D29" s="25">
        <f t="shared" si="16"/>
        <v>-1.0500000000000001E-2</v>
      </c>
      <c r="E29" s="25">
        <f t="shared" si="16"/>
        <v>0</v>
      </c>
      <c r="F29" s="25">
        <f t="shared" si="16"/>
        <v>-0.22359999999999999</v>
      </c>
      <c r="G29" s="25">
        <f t="shared" si="16"/>
        <v>0.1118</v>
      </c>
      <c r="H29" s="25">
        <f t="shared" si="16"/>
        <v>-0.23039999999999999</v>
      </c>
      <c r="J29" t="str">
        <f t="shared" si="15"/>
        <v>0 &amp; -0.0105 &amp; 0 &amp; -0.2236 &amp; 0.1118 &amp; -0.2304</v>
      </c>
    </row>
    <row r="30" spans="1:20" x14ac:dyDescent="0.25">
      <c r="C30" s="25">
        <f t="shared" ref="C30:H30" si="17">ROUND(C22,$A$27)</f>
        <v>0.5</v>
      </c>
      <c r="D30" s="25">
        <f t="shared" si="17"/>
        <v>0.51590000000000003</v>
      </c>
      <c r="E30" s="25">
        <f t="shared" si="17"/>
        <v>-0.5</v>
      </c>
      <c r="F30" s="25">
        <f t="shared" si="17"/>
        <v>-0.22359999999999999</v>
      </c>
      <c r="G30" s="25">
        <f t="shared" si="17"/>
        <v>0.1118</v>
      </c>
      <c r="H30" s="25">
        <f t="shared" si="17"/>
        <v>-0.18779999999999999</v>
      </c>
      <c r="J30" t="str">
        <f t="shared" si="15"/>
        <v>0.5 &amp; 0.5159 &amp; -0.5 &amp; -0.2236 &amp; 0.1118 &amp; -0.1878</v>
      </c>
    </row>
    <row r="31" spans="1:20" x14ac:dyDescent="0.25">
      <c r="C31" s="25">
        <f t="shared" ref="C31:H31" si="18">ROUND(C23,$A$27)</f>
        <v>-0.5</v>
      </c>
      <c r="D31" s="25">
        <f t="shared" si="18"/>
        <v>-1.0500000000000001E-2</v>
      </c>
      <c r="E31" s="25">
        <f t="shared" si="18"/>
        <v>0.5</v>
      </c>
      <c r="F31" s="25">
        <f t="shared" si="18"/>
        <v>0.89439999999999997</v>
      </c>
      <c r="G31" s="25">
        <f t="shared" si="18"/>
        <v>-0.44719999999999999</v>
      </c>
      <c r="H31" s="25">
        <f t="shared" si="18"/>
        <v>0.879</v>
      </c>
      <c r="J31" t="str">
        <f t="shared" si="15"/>
        <v>-0.5 &amp; -0.0105 &amp; 0.5 &amp; 0.8944 &amp; -0.4472 &amp; 0.879</v>
      </c>
    </row>
    <row r="33" spans="3:8" x14ac:dyDescent="0.25">
      <c r="C33" s="27">
        <f>SUM(C27:C32)</f>
        <v>0</v>
      </c>
      <c r="D33" s="27">
        <f t="shared" ref="D33:H33" si="19">SUM(D27:D32)</f>
        <v>6.4184768611141862E-17</v>
      </c>
      <c r="E33" s="27">
        <f t="shared" si="19"/>
        <v>0</v>
      </c>
      <c r="F33" s="27">
        <f t="shared" si="19"/>
        <v>0</v>
      </c>
      <c r="G33" s="27">
        <f t="shared" si="19"/>
        <v>0</v>
      </c>
      <c r="H33" s="27">
        <f t="shared" si="19"/>
        <v>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Sheet1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iTony Jah</cp:lastModifiedBy>
  <dcterms:created xsi:type="dcterms:W3CDTF">2025-10-05T12:07:44Z</dcterms:created>
  <dcterms:modified xsi:type="dcterms:W3CDTF">2025-10-09T15:21:21Z</dcterms:modified>
</cp:coreProperties>
</file>