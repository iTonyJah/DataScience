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onyJah\DataScience\Edu\TSU_DS\"/>
    </mc:Choice>
  </mc:AlternateContent>
  <xr:revisionPtr revIDLastSave="0" documentId="8_{44F04719-EB8E-4888-9139-31984810AA98}" xr6:coauthVersionLast="47" xr6:coauthVersionMax="47" xr10:uidLastSave="{00000000-0000-0000-0000-000000000000}"/>
  <bookViews>
    <workbookView xWindow="-120" yWindow="-120" windowWidth="29040" windowHeight="15720" xr2:uid="{27735E6E-8756-4EF7-BC81-A5E20B1D6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1" i="1" l="1"/>
  <c r="S50" i="1"/>
  <c r="S49" i="1"/>
  <c r="S48" i="1"/>
  <c r="S47" i="1"/>
  <c r="S46" i="1"/>
  <c r="R51" i="1"/>
  <c r="R50" i="1"/>
  <c r="R49" i="1"/>
  <c r="R48" i="1"/>
  <c r="R47" i="1"/>
  <c r="R46" i="1"/>
  <c r="V33" i="1"/>
  <c r="AC33" i="1"/>
  <c r="AB33" i="1"/>
  <c r="AA33" i="1"/>
  <c r="Z33" i="1"/>
  <c r="Y33" i="1"/>
  <c r="W33" i="1" s="1"/>
  <c r="X33" i="1"/>
  <c r="W32" i="1"/>
  <c r="V39" i="1"/>
  <c r="V38" i="1"/>
  <c r="Y24" i="1"/>
  <c r="X24" i="1"/>
  <c r="M49" i="1"/>
  <c r="L49" i="1"/>
  <c r="J44" i="1"/>
  <c r="H44" i="1"/>
  <c r="R38" i="1"/>
  <c r="S39" i="1"/>
  <c r="S38" i="1"/>
  <c r="P38" i="1"/>
  <c r="P37" i="1"/>
  <c r="P36" i="1"/>
  <c r="P35" i="1"/>
  <c r="P34" i="1"/>
  <c r="P33" i="1"/>
  <c r="Q38" i="1"/>
  <c r="J38" i="1"/>
  <c r="I38" i="1"/>
  <c r="K25" i="1"/>
  <c r="J20" i="1" l="1"/>
  <c r="J21" i="1"/>
  <c r="I21" i="1"/>
  <c r="H21" i="1"/>
  <c r="L17" i="1"/>
  <c r="J17" i="1"/>
</calcChain>
</file>

<file path=xl/sharedStrings.xml><?xml version="1.0" encoding="utf-8"?>
<sst xmlns="http://schemas.openxmlformats.org/spreadsheetml/2006/main" count="3" uniqueCount="3">
  <si>
    <t>4,6,1,9,10,3,14,27,6,2,-6</t>
  </si>
  <si>
    <t>8,10,12,6,8,10</t>
  </si>
  <si>
    <t>Вы разрабатываете алгоритм, который по тексту определяет его автора. Вам известно, что среди всей выборки из 2000 текстов 33,5% принадлежат русскоязычным авторам. А среди текстов русскоязычных авторов - 40% написаны в 2023 году. Сколько в выборке текстов, которые написаны русскоязычными авторами в 2023 году?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</si>
</sst>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0.0000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10" fontId="0" fillId="0" borderId="0" xfId="0" applyNumberFormat="1"/>
    <xf numFmtId="168" fontId="0" fillId="0" borderId="0" xfId="0" applyNumberFormat="1"/>
    <xf numFmtId="43" fontId="0" fillId="0" borderId="0" xfId="1" applyFon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CCF9-D667-453F-99CB-E51B61BAA44A}">
  <dimension ref="A16:AC55"/>
  <sheetViews>
    <sheetView tabSelected="1" topLeftCell="D28" workbookViewId="0">
      <selection activeCell="R54" sqref="R54:Y54"/>
    </sheetView>
  </sheetViews>
  <sheetFormatPr defaultRowHeight="15" x14ac:dyDescent="0.25"/>
  <cols>
    <col min="12" max="13" width="9.5703125" bestFit="1" customWidth="1"/>
  </cols>
  <sheetData>
    <row r="16" spans="17:27" x14ac:dyDescent="0.25">
      <c r="Q16">
        <v>4</v>
      </c>
      <c r="R16">
        <v>91</v>
      </c>
      <c r="S16">
        <v>63</v>
      </c>
      <c r="T16">
        <v>66</v>
      </c>
      <c r="U16">
        <v>69</v>
      </c>
      <c r="V16">
        <v>23</v>
      </c>
      <c r="W16">
        <v>21</v>
      </c>
      <c r="X16">
        <v>65</v>
      </c>
      <c r="Y16">
        <v>64</v>
      </c>
      <c r="Z16">
        <v>87</v>
      </c>
      <c r="AA16">
        <v>1</v>
      </c>
    </row>
    <row r="17" spans="5:29" x14ac:dyDescent="0.25">
      <c r="H17">
        <v>760</v>
      </c>
      <c r="I17" s="1">
        <v>0.6</v>
      </c>
      <c r="J17">
        <f>I17*H17</f>
        <v>456</v>
      </c>
      <c r="K17" s="1">
        <v>0.25</v>
      </c>
      <c r="L17">
        <f>K17*J17</f>
        <v>114</v>
      </c>
    </row>
    <row r="19" spans="5:29" x14ac:dyDescent="0.25">
      <c r="W19">
        <v>1</v>
      </c>
    </row>
    <row r="20" spans="5:29" x14ac:dyDescent="0.25">
      <c r="H20">
        <v>292</v>
      </c>
      <c r="I20">
        <v>220</v>
      </c>
      <c r="J20">
        <f>SQRT(J21)</f>
        <v>192</v>
      </c>
      <c r="W20">
        <v>4</v>
      </c>
    </row>
    <row r="21" spans="5:29" x14ac:dyDescent="0.25">
      <c r="H21">
        <f>H20^2</f>
        <v>85264</v>
      </c>
      <c r="I21">
        <f>I20^2</f>
        <v>48400</v>
      </c>
      <c r="J21">
        <f>H21-I21</f>
        <v>36864</v>
      </c>
      <c r="W21">
        <v>21</v>
      </c>
    </row>
    <row r="22" spans="5:29" x14ac:dyDescent="0.25">
      <c r="W22">
        <v>23</v>
      </c>
    </row>
    <row r="23" spans="5:29" x14ac:dyDescent="0.25">
      <c r="W23">
        <v>63</v>
      </c>
    </row>
    <row r="24" spans="5:29" x14ac:dyDescent="0.25">
      <c r="W24">
        <v>64</v>
      </c>
      <c r="X24">
        <f>W24</f>
        <v>64</v>
      </c>
      <c r="Y24">
        <f>MEDIAN(W19:W29)</f>
        <v>64</v>
      </c>
    </row>
    <row r="25" spans="5:29" x14ac:dyDescent="0.25">
      <c r="I25">
        <v>3200</v>
      </c>
      <c r="J25">
        <v>560</v>
      </c>
      <c r="K25">
        <f>J25/I25</f>
        <v>0.17499999999999999</v>
      </c>
      <c r="W25">
        <v>65</v>
      </c>
    </row>
    <row r="26" spans="5:29" x14ac:dyDescent="0.25">
      <c r="W26">
        <v>66</v>
      </c>
    </row>
    <row r="27" spans="5:29" x14ac:dyDescent="0.25">
      <c r="W27">
        <v>69</v>
      </c>
    </row>
    <row r="28" spans="5:29" x14ac:dyDescent="0.25">
      <c r="E28">
        <v>-6</v>
      </c>
      <c r="F28">
        <v>4</v>
      </c>
      <c r="W28">
        <v>87</v>
      </c>
    </row>
    <row r="29" spans="5:29" x14ac:dyDescent="0.25">
      <c r="E29">
        <v>1</v>
      </c>
      <c r="F29">
        <v>6</v>
      </c>
      <c r="W29">
        <v>91</v>
      </c>
    </row>
    <row r="30" spans="5:29" x14ac:dyDescent="0.25">
      <c r="E30">
        <v>2</v>
      </c>
      <c r="F30">
        <v>1</v>
      </c>
      <c r="H30" t="s">
        <v>0</v>
      </c>
      <c r="N30" t="s">
        <v>1</v>
      </c>
    </row>
    <row r="31" spans="5:29" x14ac:dyDescent="0.25">
      <c r="E31">
        <v>3</v>
      </c>
      <c r="F31">
        <v>9</v>
      </c>
    </row>
    <row r="32" spans="5:29" x14ac:dyDescent="0.25">
      <c r="E32">
        <v>4</v>
      </c>
      <c r="F32">
        <v>10</v>
      </c>
      <c r="W32">
        <f>AVERAGE(X32:AC32)</f>
        <v>8</v>
      </c>
      <c r="X32">
        <v>15</v>
      </c>
      <c r="Y32">
        <v>7</v>
      </c>
      <c r="Z32">
        <v>3</v>
      </c>
      <c r="AA32">
        <v>8</v>
      </c>
      <c r="AB32">
        <v>10</v>
      </c>
      <c r="AC32">
        <v>5</v>
      </c>
    </row>
    <row r="33" spans="1:29" x14ac:dyDescent="0.25">
      <c r="E33">
        <v>6</v>
      </c>
      <c r="F33">
        <v>3</v>
      </c>
      <c r="O33">
        <v>8</v>
      </c>
      <c r="P33">
        <f>(O33-$Q$38)^2</f>
        <v>1</v>
      </c>
      <c r="V33" s="4">
        <f>W33</f>
        <v>14.666666666666666</v>
      </c>
      <c r="W33">
        <f>AVERAGE(X33:AC33)</f>
        <v>14.666666666666666</v>
      </c>
      <c r="X33">
        <f>(X32-$W$32)^2</f>
        <v>49</v>
      </c>
      <c r="Y33">
        <f t="shared" ref="Y33:AC33" si="0">(Y32-$W$32)^2</f>
        <v>1</v>
      </c>
      <c r="Z33">
        <f t="shared" si="0"/>
        <v>25</v>
      </c>
      <c r="AA33">
        <f t="shared" si="0"/>
        <v>0</v>
      </c>
      <c r="AB33">
        <f t="shared" si="0"/>
        <v>4</v>
      </c>
      <c r="AC33">
        <f t="shared" si="0"/>
        <v>9</v>
      </c>
    </row>
    <row r="34" spans="1:29" x14ac:dyDescent="0.25">
      <c r="E34">
        <v>6</v>
      </c>
      <c r="F34">
        <v>14</v>
      </c>
      <c r="O34">
        <v>10</v>
      </c>
      <c r="P34">
        <f t="shared" ref="P34:P38" si="1">(O34-$Q$38)^2</f>
        <v>1</v>
      </c>
    </row>
    <row r="35" spans="1:29" x14ac:dyDescent="0.25">
      <c r="E35">
        <v>9</v>
      </c>
      <c r="F35">
        <v>27</v>
      </c>
      <c r="O35">
        <v>12</v>
      </c>
      <c r="P35">
        <f t="shared" si="1"/>
        <v>9</v>
      </c>
    </row>
    <row r="36" spans="1:29" x14ac:dyDescent="0.25">
      <c r="E36">
        <v>10</v>
      </c>
      <c r="F36">
        <v>6</v>
      </c>
      <c r="O36">
        <v>6</v>
      </c>
      <c r="P36">
        <f t="shared" si="1"/>
        <v>9</v>
      </c>
    </row>
    <row r="37" spans="1:29" x14ac:dyDescent="0.25">
      <c r="E37">
        <v>14</v>
      </c>
      <c r="F37">
        <v>2</v>
      </c>
      <c r="O37">
        <v>8</v>
      </c>
      <c r="P37">
        <f t="shared" si="1"/>
        <v>1</v>
      </c>
    </row>
    <row r="38" spans="1:29" x14ac:dyDescent="0.25">
      <c r="E38">
        <v>27</v>
      </c>
      <c r="F38">
        <v>-6</v>
      </c>
      <c r="I38">
        <f>MEDIAN(E28:E38)</f>
        <v>6</v>
      </c>
      <c r="J38">
        <f>MEDIAN(F28:F38)</f>
        <v>6</v>
      </c>
      <c r="O38">
        <v>10</v>
      </c>
      <c r="P38">
        <f t="shared" si="1"/>
        <v>1</v>
      </c>
      <c r="Q38">
        <f>AVERAGE(O33:O38)</f>
        <v>9</v>
      </c>
      <c r="R38">
        <f>AVERAGE(P33:P38)</f>
        <v>3.6666666666666665</v>
      </c>
      <c r="S38">
        <f>_xlfn.STDEV.P(O33:O38)</f>
        <v>1.9148542155126762</v>
      </c>
      <c r="V38">
        <f>_xlfn.STDEV.P(X32:AC32)</f>
        <v>3.8297084310253524</v>
      </c>
    </row>
    <row r="39" spans="1:29" x14ac:dyDescent="0.25">
      <c r="S39">
        <f>S38^2</f>
        <v>3.6666666666666665</v>
      </c>
      <c r="V39">
        <f>V38^2</f>
        <v>14.666666666666666</v>
      </c>
    </row>
    <row r="42" spans="1:29" x14ac:dyDescent="0.25">
      <c r="A42" t="s">
        <v>2</v>
      </c>
    </row>
    <row r="44" spans="1:29" x14ac:dyDescent="0.25">
      <c r="F44">
        <v>2000</v>
      </c>
      <c r="G44" s="2">
        <v>0.33500000000000002</v>
      </c>
      <c r="H44">
        <f>G44*F44</f>
        <v>670</v>
      </c>
      <c r="I44" s="1">
        <v>0.4</v>
      </c>
      <c r="J44">
        <f>I44*H44</f>
        <v>268</v>
      </c>
      <c r="R44">
        <v>21</v>
      </c>
      <c r="S44">
        <v>3</v>
      </c>
      <c r="T44">
        <v>3</v>
      </c>
      <c r="U44">
        <v>6</v>
      </c>
      <c r="V44">
        <v>33</v>
      </c>
      <c r="W44">
        <v>4</v>
      </c>
      <c r="X44">
        <v>21</v>
      </c>
      <c r="Y44">
        <v>10</v>
      </c>
      <c r="Z44">
        <v>6</v>
      </c>
      <c r="AA44">
        <v>4</v>
      </c>
    </row>
    <row r="46" spans="1:29" x14ac:dyDescent="0.25">
      <c r="P46">
        <v>21</v>
      </c>
      <c r="Q46">
        <v>21</v>
      </c>
      <c r="R46">
        <f>COUNTIF($P$46:$P$55,Q46)</f>
        <v>2</v>
      </c>
      <c r="S46">
        <f>R46/COUNT($P$46:$P$55)</f>
        <v>0.2</v>
      </c>
    </row>
    <row r="47" spans="1:29" x14ac:dyDescent="0.25">
      <c r="P47">
        <v>3</v>
      </c>
      <c r="Q47">
        <v>3</v>
      </c>
      <c r="R47">
        <f t="shared" ref="R47:R51" si="2">COUNTIF($P$46:$P$55,Q47)</f>
        <v>2</v>
      </c>
      <c r="S47" s="5">
        <f t="shared" ref="S47:S51" si="3">R47/COUNT($P$46:$P$55)</f>
        <v>0.2</v>
      </c>
    </row>
    <row r="48" spans="1:29" x14ac:dyDescent="0.25">
      <c r="P48">
        <v>3</v>
      </c>
      <c r="Q48">
        <v>6</v>
      </c>
      <c r="R48">
        <f t="shared" si="2"/>
        <v>2</v>
      </c>
      <c r="S48">
        <f t="shared" si="3"/>
        <v>0.2</v>
      </c>
    </row>
    <row r="49" spans="10:25" x14ac:dyDescent="0.25">
      <c r="J49">
        <v>26</v>
      </c>
      <c r="K49">
        <v>20</v>
      </c>
      <c r="L49" s="3">
        <f>K49/J49</f>
        <v>0.76923076923076927</v>
      </c>
      <c r="M49" s="4">
        <f>L49</f>
        <v>0.76923076923076927</v>
      </c>
      <c r="P49">
        <v>6</v>
      </c>
      <c r="Q49">
        <v>33</v>
      </c>
      <c r="R49">
        <f t="shared" si="2"/>
        <v>1</v>
      </c>
      <c r="S49">
        <f t="shared" si="3"/>
        <v>0.1</v>
      </c>
    </row>
    <row r="50" spans="10:25" x14ac:dyDescent="0.25">
      <c r="P50">
        <v>33</v>
      </c>
      <c r="Q50">
        <v>4</v>
      </c>
      <c r="R50">
        <f t="shared" si="2"/>
        <v>2</v>
      </c>
      <c r="S50">
        <f t="shared" si="3"/>
        <v>0.2</v>
      </c>
    </row>
    <row r="51" spans="10:25" x14ac:dyDescent="0.25">
      <c r="P51">
        <v>4</v>
      </c>
      <c r="Q51">
        <v>10</v>
      </c>
      <c r="R51">
        <f t="shared" si="2"/>
        <v>1</v>
      </c>
      <c r="S51">
        <f t="shared" si="3"/>
        <v>0.1</v>
      </c>
    </row>
    <row r="52" spans="10:25" x14ac:dyDescent="0.25">
      <c r="P52">
        <v>21</v>
      </c>
    </row>
    <row r="53" spans="10:25" x14ac:dyDescent="0.25">
      <c r="P53">
        <v>10</v>
      </c>
    </row>
    <row r="54" spans="10:25" x14ac:dyDescent="0.25">
      <c r="P54">
        <v>6</v>
      </c>
      <c r="R54">
        <v>24</v>
      </c>
      <c r="S54">
        <v>80</v>
      </c>
      <c r="T54">
        <v>56</v>
      </c>
      <c r="U54">
        <v>2</v>
      </c>
      <c r="V54">
        <v>94</v>
      </c>
      <c r="W54">
        <v>50</v>
      </c>
      <c r="X54">
        <v>28</v>
      </c>
      <c r="Y54">
        <v>62</v>
      </c>
    </row>
    <row r="55" spans="10:25" x14ac:dyDescent="0.25">
      <c r="P55">
        <v>4</v>
      </c>
    </row>
  </sheetData>
  <sortState xmlns:xlrd2="http://schemas.microsoft.com/office/spreadsheetml/2017/richdata2" ref="W19:W29">
    <sortCondition ref="W19:W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2025-08-26T13:31:14Z</dcterms:created>
  <dcterms:modified xsi:type="dcterms:W3CDTF">2025-08-26T17:41:21Z</dcterms:modified>
</cp:coreProperties>
</file>