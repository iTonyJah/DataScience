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6" sheetId="1" state="visible" r:id="rId3"/>
    <sheet name="calc" sheetId="2" state="visible" r:id="rId4"/>
    <sheet name="split1" sheetId="3" state="visible" r:id="rId5"/>
    <sheet name="Sheet1" sheetId="4" state="visible" r:id="rId6"/>
    <sheet name="st" sheetId="5" state="visible" r:id="rId7"/>
    <sheet name="Sheet2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<sst xmlns="http://schemas.openxmlformats.org/spreadsheetml/2006/main" count="147" uniqueCount="118">
  <si>
    <t xml:space="preserve">Рабочая таблица с данными:</t>
  </si>
  <si>
    <t xml:space="preserve">Комнаты</t>
  </si>
  <si>
    <t xml:space="preserve">Площадь</t>
  </si>
  <si>
    <t xml:space="preserve">Этаж</t>
  </si>
  <si>
    <t xml:space="preserve">Центр</t>
  </si>
  <si>
    <t xml:space="preserve">Спальный 1</t>
  </si>
  <si>
    <t xml:space="preserve">Спальный 2</t>
  </si>
  <si>
    <t xml:space="preserve">Цена</t>
  </si>
  <si>
    <t xml:space="preserve">Задание 1. Ассоциативность умножения матриц</t>
  </si>
  <si>
    <t xml:space="preserve">Пусть X  — это матрица признаков. Её размерность: 3 строки Х 3 столбца. Возьмем 3 первые квартиры и 3 признака: «Комнаты», «Площадь» и «Этаж».</t>
  </si>
  <si>
    <t xml:space="preserve">Пусть Y — это вектор-столбец цен для этих трех квартир. Его размерность: 3 строки Х 1 столбец.</t>
  </si>
  <si>
    <t xml:space="preserve">в регрессии часто встречаются выражения такого вида.</t>
  </si>
  <si>
    <t xml:space="preserve">Цель научиться с ними работать.</t>
  </si>
  <si>
    <t xml:space="preserve">матрица X</t>
  </si>
  <si>
    <t xml:space="preserve">Y</t>
  </si>
  <si>
    <t xml:space="preserve">Задача:</t>
  </si>
  <si>
    <t xml:space="preserve">1. Вычислите результат умножения</t>
  </si>
  <si>
    <t xml:space="preserve">2. Выполните вычисления двумя способами и сравните количество скалярных операций (умножений и сложений):</t>
  </si>
  <si>
    <t xml:space="preserve">Способ 1 (скобки справа): сначала вычислите </t>
  </si>
  <si>
    <t xml:space="preserve">затем</t>
  </si>
  <si>
    <t xml:space="preserve">(u - для промежуточных вычислений)</t>
  </si>
  <si>
    <t xml:space="preserve">Способ 2 (скобки слева): сначала вычислите</t>
  </si>
  <si>
    <t xml:space="preserve">(M - для промежуточных вычислений)</t>
  </si>
  <si>
    <t xml:space="preserve">3. Сравните количество скалярных операций в каждом способе.</t>
  </si>
  <si>
    <t xml:space="preserve">4. Сделайте вывод: почему в задачах анализа данных важно выбирать порядок вычислений, если матрицы могут быть очень большими?</t>
  </si>
  <si>
    <t xml:space="preserve">Решение:</t>
  </si>
  <si>
    <t xml:space="preserve">Способ 1</t>
  </si>
  <si>
    <r>
      <rPr>
        <sz val="11"/>
        <color theme="1"/>
        <rFont val="Aptos Narrow"/>
        <family val="2"/>
        <charset val="204"/>
      </rPr>
      <t xml:space="preserve">Вычислим </t>
    </r>
    <r>
      <rPr>
        <b val="true"/>
        <sz val="11"/>
        <color theme="1"/>
        <rFont val="Aptos Narrow"/>
        <family val="2"/>
        <charset val="1"/>
      </rPr>
      <t xml:space="preserve">u</t>
    </r>
    <r>
      <rPr>
        <sz val="11"/>
        <color theme="1"/>
        <rFont val="Aptos Narrow"/>
        <family val="2"/>
        <charset val="204"/>
      </rPr>
      <t xml:space="preserve">, произведение матрицы </t>
    </r>
    <r>
      <rPr>
        <b val="true"/>
        <sz val="11"/>
        <color theme="1"/>
        <rFont val="Aptos Narrow"/>
        <family val="2"/>
        <charset val="1"/>
      </rPr>
      <t xml:space="preserve">Х</t>
    </r>
    <r>
      <rPr>
        <sz val="11"/>
        <color theme="1"/>
        <rFont val="Aptos Narrow"/>
        <family val="2"/>
        <charset val="204"/>
      </rPr>
      <t xml:space="preserve"> размером 3 строки на 3 столбца и вектора столбца </t>
    </r>
    <r>
      <rPr>
        <b val="true"/>
        <sz val="11"/>
        <color theme="1"/>
        <rFont val="Aptos Narrow"/>
        <family val="2"/>
        <charset val="1"/>
      </rPr>
      <t xml:space="preserve">Y</t>
    </r>
    <r>
      <rPr>
        <sz val="11"/>
        <color theme="1"/>
        <rFont val="Aptos Narrow"/>
        <family val="2"/>
        <charset val="204"/>
      </rPr>
      <t xml:space="preserve">. В результате получим вектор столбец </t>
    </r>
    <r>
      <rPr>
        <b val="true"/>
        <sz val="11"/>
        <color theme="1"/>
        <rFont val="Aptos Narrow"/>
        <family val="2"/>
        <charset val="1"/>
      </rPr>
      <t xml:space="preserve">u</t>
    </r>
    <r>
      <rPr>
        <sz val="11"/>
        <color theme="1"/>
        <rFont val="Aptos Narrow"/>
        <family val="2"/>
        <charset val="204"/>
      </rPr>
      <t xml:space="preserve"> размером 3х1.</t>
    </r>
  </si>
  <si>
    <t xml:space="preserve">Для первого элемента перемножим элементы строк левой матрицы с соответствующими элементами столбца правой матрицы.</t>
  </si>
  <si>
    <t xml:space="preserve">u</t>
  </si>
  <si>
    <t xml:space="preserve">  =3*2200 + 51*1600 + 3 * 1900</t>
  </si>
  <si>
    <t xml:space="preserve">  =1*2200 + 30*1600 + 1 * 1900</t>
  </si>
  <si>
    <t xml:space="preserve">  =2*2200 + 45*1600 + 2 * 1900</t>
  </si>
  <si>
    <r>
      <rPr>
        <i val="true"/>
        <sz val="11"/>
        <color theme="1"/>
        <rFont val="Aptos Narrow"/>
        <family val="2"/>
        <charset val="1"/>
      </rPr>
      <t xml:space="preserve">Итого в каждой строке у нас 3 умножения и 2 сложения, 5 операций на строку, </t>
    </r>
    <r>
      <rPr>
        <b val="true"/>
        <i val="true"/>
        <sz val="11"/>
        <color theme="1"/>
        <rFont val="Aptos Narrow"/>
        <family val="2"/>
        <charset val="1"/>
      </rPr>
      <t xml:space="preserve">15</t>
    </r>
    <r>
      <rPr>
        <i val="true"/>
        <sz val="11"/>
        <color theme="1"/>
        <rFont val="Aptos Narrow"/>
        <family val="2"/>
        <charset val="1"/>
      </rPr>
      <t xml:space="preserve"> на весь вектор.</t>
    </r>
  </si>
  <si>
    <r>
      <rPr>
        <sz val="11"/>
        <color theme="1"/>
        <rFont val="Aptos Narrow"/>
        <family val="2"/>
        <charset val="204"/>
      </rPr>
      <t xml:space="preserve">Найдём произведение транспонированной матрицы </t>
    </r>
    <r>
      <rPr>
        <b val="true"/>
        <sz val="11"/>
        <color theme="1"/>
        <rFont val="Aptos Narrow"/>
        <family val="2"/>
        <charset val="1"/>
      </rPr>
      <t xml:space="preserve">Х</t>
    </r>
    <r>
      <rPr>
        <sz val="11"/>
        <color theme="1"/>
        <rFont val="Aptos Narrow"/>
        <family val="2"/>
        <charset val="204"/>
      </rPr>
      <t xml:space="preserve"> слева на получившийся вектор </t>
    </r>
    <r>
      <rPr>
        <b val="true"/>
        <sz val="11"/>
        <color theme="1"/>
        <rFont val="Aptos Narrow"/>
        <family val="2"/>
        <charset val="1"/>
      </rPr>
      <t xml:space="preserve">u</t>
    </r>
    <r>
      <rPr>
        <sz val="11"/>
        <color theme="1"/>
        <rFont val="Aptos Narrow"/>
        <family val="2"/>
        <charset val="204"/>
      </rPr>
      <t xml:space="preserve">.</t>
    </r>
  </si>
  <si>
    <t xml:space="preserve">   =3*93900 + 1*52100 + 2*80200</t>
  </si>
  <si>
    <t xml:space="preserve">   =51*93900 + 30*52100 + 45*80200</t>
  </si>
  <si>
    <r>
      <rPr>
        <i val="true"/>
        <sz val="11"/>
        <color theme="1"/>
        <rFont val="Aptos Narrow"/>
        <family val="2"/>
        <charset val="1"/>
      </rPr>
      <t xml:space="preserve">Итого еще </t>
    </r>
    <r>
      <rPr>
        <b val="true"/>
        <i val="true"/>
        <sz val="11"/>
        <color theme="1"/>
        <rFont val="Aptos Narrow"/>
        <family val="2"/>
        <charset val="1"/>
      </rPr>
      <t xml:space="preserve">15</t>
    </r>
    <r>
      <rPr>
        <i val="true"/>
        <sz val="11"/>
        <color theme="1"/>
        <rFont val="Aptos Narrow"/>
        <family val="2"/>
        <charset val="1"/>
      </rPr>
      <t xml:space="preserve"> операций или </t>
    </r>
    <r>
      <rPr>
        <b val="true"/>
        <i val="true"/>
        <sz val="11"/>
        <color theme="1"/>
        <rFont val="Aptos Narrow"/>
        <family val="2"/>
        <charset val="1"/>
      </rPr>
      <t xml:space="preserve">всего 30 операций</t>
    </r>
    <r>
      <rPr>
        <i val="true"/>
        <sz val="11"/>
        <color theme="1"/>
        <rFont val="Aptos Narrow"/>
        <family val="2"/>
        <charset val="1"/>
      </rPr>
      <t xml:space="preserve">.</t>
    </r>
  </si>
  <si>
    <t xml:space="preserve">Способ 2</t>
  </si>
  <si>
    <r>
      <rPr>
        <sz val="11"/>
        <color theme="1"/>
        <rFont val="Aptos Narrow"/>
        <family val="2"/>
        <charset val="204"/>
      </rPr>
      <t xml:space="preserve">Найдём матрицу </t>
    </r>
    <r>
      <rPr>
        <b val="true"/>
        <sz val="11"/>
        <color theme="1"/>
        <rFont val="Aptos Narrow"/>
        <family val="2"/>
        <charset val="1"/>
      </rPr>
      <t xml:space="preserve">М</t>
    </r>
    <r>
      <rPr>
        <sz val="11"/>
        <color theme="1"/>
        <rFont val="Aptos Narrow"/>
        <family val="2"/>
        <charset val="204"/>
      </rPr>
      <t xml:space="preserve">, произведение транспонированой матрицы </t>
    </r>
    <r>
      <rPr>
        <b val="true"/>
        <sz val="11"/>
        <color theme="1"/>
        <rFont val="Aptos Narrow"/>
        <family val="2"/>
        <charset val="1"/>
      </rPr>
      <t xml:space="preserve">X</t>
    </r>
    <r>
      <rPr>
        <sz val="11"/>
        <color theme="1"/>
        <rFont val="Aptos Narrow"/>
        <family val="2"/>
        <charset val="204"/>
      </rPr>
      <t xml:space="preserve"> (3*3) и </t>
    </r>
    <r>
      <rPr>
        <b val="true"/>
        <sz val="11"/>
        <color theme="1"/>
        <rFont val="Aptos Narrow"/>
        <family val="2"/>
        <charset val="1"/>
      </rPr>
      <t xml:space="preserve">Х</t>
    </r>
    <r>
      <rPr>
        <sz val="11"/>
        <color theme="1"/>
        <rFont val="Aptos Narrow"/>
        <family val="2"/>
        <charset val="204"/>
      </rPr>
      <t xml:space="preserve"> (3*3), в резульате получим матрицу размера 3 на 3.</t>
    </r>
  </si>
  <si>
    <t xml:space="preserve">матрица М</t>
  </si>
  <si>
    <r>
      <rPr>
        <sz val="11"/>
        <color theme="1"/>
        <rFont val="Aptos Narrow"/>
        <family val="2"/>
        <charset val="204"/>
      </rPr>
      <t xml:space="preserve">Первый столбец матрицы </t>
    </r>
    <r>
      <rPr>
        <b val="true"/>
        <sz val="11"/>
        <color theme="1"/>
        <rFont val="Aptos Narrow"/>
        <family val="2"/>
        <charset val="1"/>
      </rPr>
      <t xml:space="preserve">М</t>
    </r>
    <r>
      <rPr>
        <sz val="11"/>
        <color theme="1"/>
        <rFont val="Aptos Narrow"/>
        <family val="2"/>
        <charset val="204"/>
      </rPr>
      <t xml:space="preserve"> получаем так же как и при умножении на первый вектор столбец, </t>
    </r>
  </si>
  <si>
    <t xml:space="preserve">а второй и третий умножением на соответствующие столбцы.</t>
  </si>
  <si>
    <t xml:space="preserve">I столбец</t>
  </si>
  <si>
    <t xml:space="preserve">II столбец</t>
  </si>
  <si>
    <t xml:space="preserve">III столбец</t>
  </si>
  <si>
    <t xml:space="preserve">   =3*3 + 1*1 + 2*2</t>
  </si>
  <si>
    <t xml:space="preserve">   =3*51 + 1*30 + 2*45</t>
  </si>
  <si>
    <t xml:space="preserve">   =51*3 + 30*1 + 45*2</t>
  </si>
  <si>
    <t xml:space="preserve">   =51*51 + 30*30 + 45*45</t>
  </si>
  <si>
    <t xml:space="preserve">   =3*3 + 1*1 + 2*</t>
  </si>
  <si>
    <r>
      <rPr>
        <i val="true"/>
        <sz val="11"/>
        <color theme="1"/>
        <rFont val="Aptos Narrow"/>
        <family val="2"/>
        <charset val="1"/>
      </rPr>
      <t xml:space="preserve">Итого 15 операций на столбец, </t>
    </r>
    <r>
      <rPr>
        <b val="true"/>
        <i val="true"/>
        <sz val="11"/>
        <color theme="1"/>
        <rFont val="Aptos Narrow"/>
        <family val="2"/>
        <charset val="1"/>
      </rPr>
      <t xml:space="preserve">всего 45 операций</t>
    </r>
    <r>
      <rPr>
        <i val="true"/>
        <sz val="11"/>
        <color theme="1"/>
        <rFont val="Aptos Narrow"/>
        <family val="2"/>
        <charset val="1"/>
      </rPr>
      <t xml:space="preserve">.</t>
    </r>
  </si>
  <si>
    <r>
      <rPr>
        <sz val="11"/>
        <color theme="1"/>
        <rFont val="Aptos Narrow"/>
        <family val="2"/>
        <charset val="204"/>
      </rPr>
      <t xml:space="preserve">Найдём произведение матрицы </t>
    </r>
    <r>
      <rPr>
        <b val="true"/>
        <sz val="11"/>
        <color theme="1"/>
        <rFont val="Aptos Narrow"/>
        <family val="2"/>
        <charset val="1"/>
      </rPr>
      <t xml:space="preserve">М</t>
    </r>
    <r>
      <rPr>
        <sz val="11"/>
        <color theme="1"/>
        <rFont val="Aptos Narrow"/>
        <family val="2"/>
        <charset val="204"/>
      </rPr>
      <t xml:space="preserve"> и вектора-столбца </t>
    </r>
    <r>
      <rPr>
        <b val="true"/>
        <sz val="11"/>
        <color theme="1"/>
        <rFont val="Aptos Narrow"/>
        <family val="2"/>
        <charset val="1"/>
      </rPr>
      <t xml:space="preserve">Y</t>
    </r>
    <r>
      <rPr>
        <sz val="11"/>
        <color theme="1"/>
        <rFont val="Aptos Narrow"/>
        <family val="2"/>
        <charset val="204"/>
      </rPr>
      <t xml:space="preserve">.</t>
    </r>
  </si>
  <si>
    <t xml:space="preserve">   = 14*2200 + 273*1600 + 14*1900</t>
  </si>
  <si>
    <t xml:space="preserve">   =273*2200 + 5526*1600 + 273*1900</t>
  </si>
  <si>
    <r>
      <rPr>
        <i val="true"/>
        <sz val="11"/>
        <color theme="1"/>
        <rFont val="Aptos Narrow"/>
        <family val="2"/>
        <charset val="1"/>
      </rPr>
      <t xml:space="preserve">Итого 15 операций. </t>
    </r>
    <r>
      <rPr>
        <b val="true"/>
        <i val="true"/>
        <sz val="11"/>
        <color theme="1"/>
        <rFont val="Aptos Narrow"/>
        <family val="2"/>
        <charset val="1"/>
      </rPr>
      <t xml:space="preserve">Всего 60 операций</t>
    </r>
    <r>
      <rPr>
        <i val="true"/>
        <sz val="11"/>
        <color theme="1"/>
        <rFont val="Aptos Narrow"/>
        <family val="2"/>
        <charset val="1"/>
      </rPr>
      <t xml:space="preserve"> (15+45).</t>
    </r>
  </si>
  <si>
    <t xml:space="preserve">Ответ:</t>
  </si>
  <si>
    <t xml:space="preserve">Первый и второй способ перемножения дают нам один и тот же вектор столбец.</t>
  </si>
  <si>
    <t xml:space="preserve">В первом способе нам потребовалось 30 операций, а во втором 60.</t>
  </si>
  <si>
    <r>
      <rPr>
        <b val="true"/>
        <sz val="11"/>
        <color theme="1"/>
        <rFont val="Aptos Narrow"/>
        <family val="2"/>
        <charset val="1"/>
      </rPr>
      <t xml:space="preserve">Вывод</t>
    </r>
    <r>
      <rPr>
        <sz val="11"/>
        <color theme="1"/>
        <rFont val="Aptos Narrow"/>
        <family val="2"/>
        <charset val="204"/>
      </rPr>
      <t xml:space="preserve">: для задач по анализу данных следует выбирать порядок умножения матриц с меньшими размерностями справа,</t>
    </r>
  </si>
  <si>
    <t xml:space="preserve">тогда нам понадобится меньше операций для вычисления, что может быть существенным при матрицах большого размера.</t>
  </si>
  <si>
    <t xml:space="preserve">Задание 2. Связь признаков с ценой</t>
  </si>
  <si>
    <t xml:space="preserve">Для вас результат — это цена квартиры, а признаки — её характеристики (площадь, этаж, район и так далее).</t>
  </si>
  <si>
    <t xml:space="preserve">Для числовых признаков (как «Площадь», «Комнаты», «Этаж») корреляция Пирсона измеряет силу линейной зависимости с ценой.</t>
  </si>
  <si>
    <t xml:space="preserve">Для бинарных признаков (как «Центр», «Спальный 1», «Спальный 2») коэффициент корреляции Пирсона вычисляется точно по той же формуле, но в статистике такой случай имеет специальное название — точечно-бисериальная корреляция. Она показывает, насколько наличие характеристики (значение 1) связано с изменением среднего значения цены по сравнению с её отсутствием (значение 0).</t>
  </si>
  <si>
    <t xml:space="preserve">1. Составьте матрицу признаков X и вектор цен Y.</t>
  </si>
  <si>
    <t xml:space="preserve">2. Для каждого признака вычислите коэффициент корреляции с ценой.</t>
  </si>
  <si>
    <t xml:space="preserve">3. Определите признак с наибольшей и наименьшей связью.</t>
  </si>
  <si>
    <t xml:space="preserve">4. Объясните, почему выделение таких признаков важно для предсказательной модели.</t>
  </si>
  <si>
    <t xml:space="preserve">5. Для бинарных признаков дайте содержательную интерпретацию: что означает положительный или отрицательный знак корреляции?</t>
  </si>
  <si>
    <t xml:space="preserve">Дополнительное задание*</t>
  </si>
  <si>
    <t xml:space="preserve">Для одного из бинарных признаков проверьте свой вывод: сравните среднюю цену для квартир, где признак равен 1, и для квартир, где признак равен 0.</t>
  </si>
  <si>
    <t xml:space="preserve">1.</t>
  </si>
  <si>
    <t xml:space="preserve">Матрица признаков Х (5х6)</t>
  </si>
  <si>
    <t xml:space="preserve">Вектор цен Y (5х1)</t>
  </si>
  <si>
    <t xml:space="preserve">2. Вычислить коэфициент корреляции:</t>
  </si>
  <si>
    <t xml:space="preserve">Произведём центрирование вектора (приведём среднее к нулю).</t>
  </si>
  <si>
    <t xml:space="preserve">Сумма</t>
  </si>
  <si>
    <t xml:space="preserve">Среднее</t>
  </si>
  <si>
    <t xml:space="preserve">Центрированные вектора матрицы признаков Х:</t>
  </si>
  <si>
    <t xml:space="preserve">(29/5, -76/5, -1/5, 49/5, -1/5)</t>
  </si>
  <si>
    <t xml:space="preserve">Сумма всех всех векторов столбцов равна нулю.</t>
  </si>
  <si>
    <t xml:space="preserve">Длина вектора:</t>
  </si>
  <si>
    <t xml:space="preserve">Стандартизированные:</t>
  </si>
  <si>
    <t xml:space="preserve">\displaystyle \frac{2 \sqrt{2255}}{5}</t>
  </si>
  <si>
    <t xml:space="preserve">90-14</t>
  </si>
  <si>
    <t xml:space="preserve">90+14</t>
  </si>
  <si>
    <t xml:space="preserve">=2^4*3*5</t>
  </si>
  <si>
    <t xml:space="preserve">=7*5*3*2^3</t>
  </si>
  <si>
    <t xml:space="preserve">=5*3^3*2^2</t>
  </si>
  <si>
    <t xml:space="preserve">=11*5*2^3</t>
  </si>
  <si>
    <t xml:space="preserve">=103*5*2^2</t>
  </si>
  <si>
    <t xml:space="preserve">Спальный</t>
  </si>
  <si>
    <t xml:space="preserve">Центральный</t>
  </si>
  <si>
    <t xml:space="preserve">среднее</t>
  </si>
  <si>
    <t xml:space="preserve">центрированые</t>
  </si>
  <si>
    <t xml:space="preserve">длина ц.в.</t>
  </si>
  <si>
    <t xml:space="preserve">standart</t>
  </si>
  <si>
    <t xml:space="preserve">check</t>
  </si>
  <si>
    <t xml:space="preserve">меньше половины</t>
  </si>
  <si>
    <t xml:space="preserve">x_1</t>
  </si>
  <si>
    <t xml:space="preserve">x_2</t>
  </si>
  <si>
    <t xml:space="preserve">x_3</t>
  </si>
  <si>
    <t xml:space="preserve">x_4</t>
  </si>
  <si>
    <t xml:space="preserve">x_5</t>
  </si>
  <si>
    <t xml:space="preserve">y</t>
  </si>
  <si>
    <t xml:space="preserve">sent_2025_1015_2200</t>
  </si>
  <si>
    <t xml:space="preserve">average</t>
  </si>
  <si>
    <t xml:space="preserve">cent</t>
  </si>
  <si>
    <t xml:space="preserve">cent^2</t>
  </si>
  <si>
    <t xml:space="preserve">st1</t>
  </si>
  <si>
    <t xml:space="preserve">st1+st2=st_n</t>
  </si>
  <si>
    <t xml:space="preserve">sqrt</t>
  </si>
  <si>
    <t xml:space="preserve">round</t>
  </si>
  <si>
    <t xml:space="preserve">sum</t>
  </si>
  <si>
    <t xml:space="preserve">sqrt(sum)</t>
  </si>
  <si>
    <t xml:space="preserve">st2</t>
  </si>
  <si>
    <t xml:space="preserve">sqrt(2)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</si>
</sst>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 ?/?"/>
    <numFmt numFmtId="167" formatCode="General"/>
    <numFmt numFmtId="168" formatCode="#,##0.00"/>
    <numFmt numFmtId="169" formatCode="0.000"/>
    <numFmt numFmtId="170" formatCode="0.0000"/>
    <numFmt numFmtId="171" formatCode="0.00000"/>
  </numFmts>
  <fonts count="16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13131"/>
      <name val="Arial"/>
      <family val="2"/>
      <charset val="204"/>
    </font>
    <font>
      <b val="true"/>
      <sz val="7"/>
      <color rgb="FF7B7A7D"/>
      <name val="Arial"/>
      <family val="2"/>
      <charset val="204"/>
    </font>
    <font>
      <sz val="7"/>
      <color rgb="FF181818"/>
      <name val="Arial"/>
      <family val="2"/>
      <charset val="204"/>
    </font>
    <font>
      <b val="true"/>
      <sz val="18"/>
      <color rgb="FF181818"/>
      <name val="Arial"/>
      <family val="2"/>
      <charset val="204"/>
    </font>
    <font>
      <b val="true"/>
      <sz val="11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b val="true"/>
      <i val="true"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4"/>
      <color theme="1"/>
      <name val="DejaVu Sans"/>
      <family val="2"/>
    </font>
    <font>
      <sz val="14"/>
      <color theme="1"/>
      <name val="Cambria Math"/>
      <family val="1"/>
    </font>
    <font>
      <sz val="10"/>
      <color theme="1"/>
      <name val="Aptos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EEEEEE"/>
        <bgColor rgb="FFF9F8FA"/>
      </patternFill>
    </fill>
    <fill>
      <patternFill patternType="solid">
        <fgColor rgb="FFF9F8FA"/>
        <bgColor rgb="FFEEEEEE"/>
      </patternFill>
    </fill>
    <fill>
      <patternFill patternType="solid">
        <fgColor rgb="FFFFFF00"/>
        <bgColor rgb="FFFFFF00"/>
      </patternFill>
    </fill>
    <fill>
      <patternFill patternType="solid">
        <fgColor theme="3" tint="0.8999"/>
        <bgColor rgb="FFEEEEEE"/>
      </patternFill>
    </fill>
    <fill>
      <patternFill patternType="solid">
        <fgColor theme="0" tint="-0.15"/>
        <bgColor rgb="FFDCEAF7"/>
      </patternFill>
    </fill>
    <fill>
      <patternFill patternType="solid">
        <fgColor rgb="FF92D050"/>
        <bgColor rgb="FFB4E5A2"/>
      </patternFill>
    </fill>
    <fill>
      <patternFill patternType="solid">
        <fgColor theme="9" tint="0.5999"/>
        <bgColor rgb="FFC8C8C8"/>
      </patternFill>
    </fill>
    <fill>
      <patternFill patternType="solid">
        <fgColor theme="5" tint="0.5999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C8C8C8"/>
      </left>
      <right style="medium">
        <color rgb="FFC8C8C8"/>
      </right>
      <top style="medium">
        <color rgb="FFC8C8C8"/>
      </top>
      <bottom style="medium">
        <color rgb="FFC8C8C8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8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7B7A7D"/>
      <rgbColor rgb="FF9999FF"/>
      <rgbColor rgb="FF993366"/>
      <rgbColor rgb="FFEEEEEE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6C6AD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181818"/>
      <rgbColor rgb="FF333300"/>
      <rgbColor rgb="FF993300"/>
      <rgbColor rgb="FF993366"/>
      <rgbColor rgb="FF333399"/>
      <rgbColor rgb="FF313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25560</xdr:colOff>
      <xdr:row>13</xdr:row>
      <xdr:rowOff>63000</xdr:rowOff>
    </xdr:from>
    <xdr:to>
      <xdr:col>2</xdr:col>
      <xdr:colOff>251640</xdr:colOff>
      <xdr:row>16</xdr:row>
      <xdr:rowOff>111240</xdr:rowOff>
    </xdr:to>
    <xdr:sp>
      <xdr:nvSpPr>
        <xdr:cNvPr id="0" name="TextBox 3"/>
        <xdr:cNvSpPr/>
      </xdr:nvSpPr>
      <xdr:spPr>
        <a:xfrm>
          <a:off x="713160" y="2514600"/>
          <a:ext cx="914040" cy="591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zh-CN" sz="1400" spc="-1" strike="noStrike">
              <a:solidFill>
                <a:schemeClr val="dk1"/>
              </a:solidFill>
              <a:latin typeface="Cambria Math"/>
            </a:rPr>
            <a:t>〖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(𝑋</a:t>
          </a:r>
          <a:r>
            <a:rPr b="0" lang="zh-CN" sz="1400" spc="-1" strike="noStrike">
              <a:solidFill>
                <a:schemeClr val="dk1"/>
              </a:solidFill>
              <a:latin typeface="Cambria Math"/>
            </a:rPr>
            <a:t>〗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^𝑇 </a:t>
          </a:r>
          <a:r>
            <a:rPr b="0" lang="zh-CN" sz="1400" spc="-1" strike="noStrike">
              <a:solidFill>
                <a:schemeClr val="dk1"/>
              </a:solidFill>
              <a:latin typeface="Cambria Math"/>
            </a:rPr>
            <a:t>〖𝑋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)</a:t>
          </a:r>
          <a:r>
            <a:rPr b="0" lang="zh-CN" sz="1400" spc="-1" strike="noStrike">
              <a:solidFill>
                <a:schemeClr val="dk1"/>
              </a:solidFill>
              <a:latin typeface="Cambria Math"/>
            </a:rPr>
            <a:t>〗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^(-1) 𝑋^𝑇 𝑌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4</xdr:col>
      <xdr:colOff>374760</xdr:colOff>
      <xdr:row>23</xdr:row>
      <xdr:rowOff>88560</xdr:rowOff>
    </xdr:from>
    <xdr:to>
      <xdr:col>5</xdr:col>
      <xdr:colOff>601200</xdr:colOff>
      <xdr:row>24</xdr:row>
      <xdr:rowOff>85680</xdr:rowOff>
    </xdr:to>
    <xdr:sp>
      <xdr:nvSpPr>
        <xdr:cNvPr id="1" name="TextBox 4"/>
        <xdr:cNvSpPr/>
      </xdr:nvSpPr>
      <xdr:spPr>
        <a:xfrm>
          <a:off x="3125520" y="4349880"/>
          <a:ext cx="914040" cy="178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𝑋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^𝑇 (𝑋𝑌)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5</xdr:col>
      <xdr:colOff>514440</xdr:colOff>
      <xdr:row>25</xdr:row>
      <xdr:rowOff>107280</xdr:rowOff>
    </xdr:from>
    <xdr:to>
      <xdr:col>6</xdr:col>
      <xdr:colOff>480240</xdr:colOff>
      <xdr:row>26</xdr:row>
      <xdr:rowOff>104400</xdr:rowOff>
    </xdr:to>
    <xdr:sp>
      <xdr:nvSpPr>
        <xdr:cNvPr id="2" name="TextBox 5"/>
        <xdr:cNvSpPr/>
      </xdr:nvSpPr>
      <xdr:spPr>
        <a:xfrm>
          <a:off x="3952800" y="4730760"/>
          <a:ext cx="653760" cy="178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𝑢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=𝑋𝑌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8</xdr:col>
      <xdr:colOff>0</xdr:colOff>
      <xdr:row>25</xdr:row>
      <xdr:rowOff>110520</xdr:rowOff>
    </xdr:from>
    <xdr:to>
      <xdr:col>8</xdr:col>
      <xdr:colOff>545760</xdr:colOff>
      <xdr:row>26</xdr:row>
      <xdr:rowOff>107640</xdr:rowOff>
    </xdr:to>
    <xdr:sp>
      <xdr:nvSpPr>
        <xdr:cNvPr id="3" name="TextBox 6"/>
        <xdr:cNvSpPr/>
      </xdr:nvSpPr>
      <xdr:spPr>
        <a:xfrm>
          <a:off x="5347800" y="4734000"/>
          <a:ext cx="545760" cy="178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𝑋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^𝑇 𝑢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5</xdr:col>
      <xdr:colOff>355680</xdr:colOff>
      <xdr:row>27</xdr:row>
      <xdr:rowOff>101160</xdr:rowOff>
    </xdr:from>
    <xdr:to>
      <xdr:col>6</xdr:col>
      <xdr:colOff>581760</xdr:colOff>
      <xdr:row>29</xdr:row>
      <xdr:rowOff>123480</xdr:rowOff>
    </xdr:to>
    <xdr:sp>
      <xdr:nvSpPr>
        <xdr:cNvPr id="4" name="TextBox 7"/>
        <xdr:cNvSpPr/>
      </xdr:nvSpPr>
      <xdr:spPr>
        <a:xfrm>
          <a:off x="3794040" y="5086440"/>
          <a:ext cx="914040" cy="384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zh-CN" sz="1400" spc="-1" strike="noStrike">
              <a:solidFill>
                <a:schemeClr val="dk1"/>
              </a:solidFill>
              <a:latin typeface="Cambria Math"/>
            </a:rPr>
            <a:t>〖𝑀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=𝑋</a:t>
          </a:r>
          <a:r>
            <a:rPr b="0" lang="zh-CN" sz="1400" spc="-1" strike="noStrike">
              <a:solidFill>
                <a:schemeClr val="dk1"/>
              </a:solidFill>
              <a:latin typeface="Cambria Math"/>
            </a:rPr>
            <a:t>〗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^𝑇 𝑋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8</xdr:col>
      <xdr:colOff>0</xdr:colOff>
      <xdr:row>27</xdr:row>
      <xdr:rowOff>110520</xdr:rowOff>
    </xdr:from>
    <xdr:to>
      <xdr:col>8</xdr:col>
      <xdr:colOff>545760</xdr:colOff>
      <xdr:row>28</xdr:row>
      <xdr:rowOff>107640</xdr:rowOff>
    </xdr:to>
    <xdr:sp>
      <xdr:nvSpPr>
        <xdr:cNvPr id="5" name="TextBox 8"/>
        <xdr:cNvSpPr/>
      </xdr:nvSpPr>
      <xdr:spPr>
        <a:xfrm>
          <a:off x="5347800" y="5095800"/>
          <a:ext cx="545760" cy="178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𝑀𝑌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0</xdr:colOff>
      <xdr:row>43</xdr:row>
      <xdr:rowOff>34920</xdr:rowOff>
    </xdr:from>
    <xdr:to>
      <xdr:col>7</xdr:col>
      <xdr:colOff>545760</xdr:colOff>
      <xdr:row>44</xdr:row>
      <xdr:rowOff>63000</xdr:rowOff>
    </xdr:to>
    <xdr:sp>
      <xdr:nvSpPr>
        <xdr:cNvPr id="6" name="TextBox 12"/>
        <xdr:cNvSpPr/>
      </xdr:nvSpPr>
      <xdr:spPr>
        <a:xfrm>
          <a:off x="4737240" y="8188200"/>
          <a:ext cx="545760" cy="20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𝑋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^𝑇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43</xdr:row>
      <xdr:rowOff>22320</xdr:rowOff>
    </xdr:from>
    <xdr:to>
      <xdr:col>1</xdr:col>
      <xdr:colOff>545760</xdr:colOff>
      <xdr:row>44</xdr:row>
      <xdr:rowOff>18720</xdr:rowOff>
    </xdr:to>
    <xdr:sp>
      <xdr:nvSpPr>
        <xdr:cNvPr id="7" name="TextBox 13"/>
        <xdr:cNvSpPr/>
      </xdr:nvSpPr>
      <xdr:spPr>
        <a:xfrm>
          <a:off x="687600" y="8175600"/>
          <a:ext cx="545760" cy="177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𝑋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^𝑇 𝑢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38160</xdr:colOff>
      <xdr:row>49</xdr:row>
      <xdr:rowOff>191880</xdr:rowOff>
    </xdr:from>
    <xdr:to>
      <xdr:col>7</xdr:col>
      <xdr:colOff>583920</xdr:colOff>
      <xdr:row>51</xdr:row>
      <xdr:rowOff>11880</xdr:rowOff>
    </xdr:to>
    <xdr:sp>
      <xdr:nvSpPr>
        <xdr:cNvPr id="8" name="TextBox 14"/>
        <xdr:cNvSpPr/>
      </xdr:nvSpPr>
      <xdr:spPr>
        <a:xfrm>
          <a:off x="4775400" y="9639360"/>
          <a:ext cx="545760" cy="20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𝑋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^𝑇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61</xdr:row>
      <xdr:rowOff>81360</xdr:rowOff>
    </xdr:from>
    <xdr:to>
      <xdr:col>1</xdr:col>
      <xdr:colOff>545760</xdr:colOff>
      <xdr:row>62</xdr:row>
      <xdr:rowOff>63000</xdr:rowOff>
    </xdr:to>
    <xdr:sp>
      <xdr:nvSpPr>
        <xdr:cNvPr id="9" name="TextBox 16"/>
        <xdr:cNvSpPr/>
      </xdr:nvSpPr>
      <xdr:spPr>
        <a:xfrm>
          <a:off x="687600" y="11782440"/>
          <a:ext cx="54576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𝑀𝑌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6480</xdr:colOff>
      <xdr:row>68</xdr:row>
      <xdr:rowOff>39600</xdr:rowOff>
    </xdr:from>
    <xdr:to>
      <xdr:col>1</xdr:col>
      <xdr:colOff>603000</xdr:colOff>
      <xdr:row>69</xdr:row>
      <xdr:rowOff>61200</xdr:rowOff>
    </xdr:to>
    <xdr:sp>
      <xdr:nvSpPr>
        <xdr:cNvPr id="10" name="TextBox 25"/>
        <xdr:cNvSpPr/>
      </xdr:nvSpPr>
      <xdr:spPr>
        <a:xfrm>
          <a:off x="694080" y="13062240"/>
          <a:ext cx="596520" cy="20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𝑋</a:t>
          </a: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^𝑇 (𝑋𝑌)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288000</xdr:colOff>
      <xdr:row>97</xdr:row>
      <xdr:rowOff>129240</xdr:rowOff>
    </xdr:from>
    <xdr:to>
      <xdr:col>10</xdr:col>
      <xdr:colOff>179640</xdr:colOff>
      <xdr:row>98</xdr:row>
      <xdr:rowOff>126360</xdr:rowOff>
    </xdr:to>
    <xdr:sp>
      <xdr:nvSpPr>
        <xdr:cNvPr id="11" name="TextBox 30"/>
        <xdr:cNvSpPr/>
      </xdr:nvSpPr>
      <xdr:spPr>
        <a:xfrm>
          <a:off x="5025240" y="18526320"/>
          <a:ext cx="1801080" cy="178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(𝑥_𝑐𝑒𝑛𝑡 ) ⃗=𝑥 ⃗−(𝑥_𝑚𝑒𝑎𝑛 ) ⃗</a:t>
          </a:r>
          <a:endParaRPr b="0" lang="ru-RU" sz="1400" spc="-1" strike="noStrike">
            <a:latin typeface="Times New Roman"/>
          </a:endParaRPr>
        </a:p>
      </xdr:txBody>
    </xdr:sp>
    <xdr:clientData/>
  </xdr:twoCellAnchor>
  <xdr:twoCellAnchor editAs="oneCell">
    <xdr:from>
      <xdr:col>9</xdr:col>
      <xdr:colOff>183600</xdr:colOff>
      <xdr:row>108</xdr:row>
      <xdr:rowOff>84600</xdr:rowOff>
    </xdr:from>
    <xdr:to>
      <xdr:col>12</xdr:col>
      <xdr:colOff>645120</xdr:colOff>
      <xdr:row>109</xdr:row>
      <xdr:rowOff>81720</xdr:rowOff>
    </xdr:to>
    <xdr:sp>
      <xdr:nvSpPr>
        <xdr:cNvPr id="12" name="TextBox 31"/>
        <xdr:cNvSpPr/>
      </xdr:nvSpPr>
      <xdr:spPr>
        <a:xfrm>
          <a:off x="6142320" y="20472480"/>
          <a:ext cx="2324160" cy="178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400" spc="-1" strike="noStrike">
              <a:solidFill>
                <a:schemeClr val="dk1"/>
              </a:solidFill>
              <a:latin typeface="Cambria Math"/>
            </a:rPr>
            <a:t>(𝑥_𝑠𝑡 ) ⃗=(𝑥_𝑐𝑒𝑛𝑡 ) ⃗/(\|(𝑥_𝑐𝑒𝑛𝑡 ) ⃗\|)</a:t>
          </a:r>
          <a:endParaRPr b="0" lang="ru-RU" sz="14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6:L78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G78" activeCellId="0" sqref="G78"/>
    </sheetView>
  </sheetViews>
  <sheetFormatPr defaultColWidth="10.16015625" defaultRowHeight="13.8" zeroHeight="false" outlineLevelRow="0" outlineLevelCol="0"/>
  <cols>
    <col collapsed="false" customWidth="true" hidden="false" outlineLevel="0" max="9" min="9" style="0" width="9.06"/>
  </cols>
  <sheetData>
    <row r="16" customFormat="false" ht="13.8" hidden="false" customHeight="false" outlineLevel="0" collapsed="false">
      <c r="E16" s="0" t="n">
        <v>5</v>
      </c>
      <c r="F16" s="0" t="n">
        <v>226</v>
      </c>
      <c r="G16" s="0" t="n">
        <v>1</v>
      </c>
      <c r="H16" s="0" t="n">
        <v>1</v>
      </c>
      <c r="I16" s="0" t="n">
        <v>0</v>
      </c>
      <c r="J16" s="0" t="n">
        <v>0</v>
      </c>
    </row>
    <row r="17" customFormat="false" ht="13.8" hidden="false" customHeight="false" outlineLevel="0" collapsed="false">
      <c r="E17" s="0" t="n">
        <v>226</v>
      </c>
      <c r="F17" s="0" t="n">
        <v>10576</v>
      </c>
      <c r="G17" s="0" t="n">
        <v>45</v>
      </c>
      <c r="H17" s="0" t="n">
        <v>0</v>
      </c>
      <c r="I17" s="0" t="n">
        <v>1</v>
      </c>
      <c r="J17" s="0" t="n">
        <v>0</v>
      </c>
    </row>
    <row r="18" customFormat="false" ht="13.8" hidden="false" customHeight="false" outlineLevel="0" collapsed="false">
      <c r="E18" s="0" t="n">
        <v>1</v>
      </c>
      <c r="F18" s="0" t="n">
        <v>45</v>
      </c>
      <c r="G18" s="0" t="n">
        <v>1</v>
      </c>
      <c r="H18" s="0" t="n">
        <v>0</v>
      </c>
      <c r="I18" s="0" t="n">
        <v>0</v>
      </c>
      <c r="J18" s="0" t="n">
        <v>1</v>
      </c>
    </row>
    <row r="20" customFormat="false" ht="13.8" hidden="false" customHeight="false" outlineLevel="0" collapsed="false">
      <c r="D20" s="0" t="n">
        <f aca="false">1/5</f>
        <v>0.2</v>
      </c>
      <c r="E20" s="0" t="n">
        <f aca="false">E16*$D20</f>
        <v>1</v>
      </c>
      <c r="F20" s="0" t="n">
        <f aca="false">F16*$D20</f>
        <v>45.2</v>
      </c>
      <c r="G20" s="0" t="n">
        <f aca="false">G16*$D20</f>
        <v>0.2</v>
      </c>
      <c r="H20" s="0" t="n">
        <f aca="false">H16*$D20</f>
        <v>0.2</v>
      </c>
      <c r="I20" s="0" t="n">
        <f aca="false">I16*$D20</f>
        <v>0</v>
      </c>
      <c r="J20" s="0" t="n">
        <f aca="false">J16*$D20</f>
        <v>0</v>
      </c>
    </row>
    <row r="21" customFormat="false" ht="13.8" hidden="false" customHeight="false" outlineLevel="0" collapsed="false">
      <c r="E21" s="0" t="n">
        <f aca="false">E17</f>
        <v>226</v>
      </c>
      <c r="F21" s="0" t="n">
        <f aca="false">F17</f>
        <v>10576</v>
      </c>
      <c r="G21" s="0" t="n">
        <f aca="false">G17</f>
        <v>45</v>
      </c>
      <c r="H21" s="0" t="n">
        <f aca="false">H17</f>
        <v>0</v>
      </c>
      <c r="I21" s="0" t="n">
        <f aca="false">I17</f>
        <v>1</v>
      </c>
      <c r="J21" s="0" t="n">
        <f aca="false">J17</f>
        <v>0</v>
      </c>
    </row>
    <row r="22" customFormat="false" ht="13.8" hidden="false" customHeight="false" outlineLevel="0" collapsed="false">
      <c r="E22" s="0" t="n">
        <f aca="false">E18</f>
        <v>1</v>
      </c>
      <c r="F22" s="0" t="n">
        <f aca="false">F18</f>
        <v>45</v>
      </c>
      <c r="G22" s="0" t="n">
        <f aca="false">G18</f>
        <v>1</v>
      </c>
      <c r="H22" s="0" t="n">
        <f aca="false">H18</f>
        <v>0</v>
      </c>
      <c r="I22" s="0" t="n">
        <f aca="false">I18</f>
        <v>0</v>
      </c>
      <c r="J22" s="0" t="n">
        <f aca="false">J18</f>
        <v>1</v>
      </c>
    </row>
    <row r="24" customFormat="false" ht="13.8" hidden="false" customHeight="false" outlineLevel="0" collapsed="false">
      <c r="D24" s="0" t="n">
        <v>226</v>
      </c>
      <c r="E24" s="0" t="n">
        <f aca="false">E20*$D24</f>
        <v>226</v>
      </c>
      <c r="F24" s="0" t="n">
        <f aca="false">F20*$D24</f>
        <v>10215.2</v>
      </c>
      <c r="G24" s="0" t="n">
        <f aca="false">G20*$D24</f>
        <v>45.2</v>
      </c>
      <c r="H24" s="0" t="n">
        <f aca="false">H20*$D24</f>
        <v>45.2</v>
      </c>
      <c r="I24" s="0" t="n">
        <f aca="false">I20*$D24</f>
        <v>0</v>
      </c>
      <c r="J24" s="0" t="n">
        <f aca="false">J20*$D24</f>
        <v>0</v>
      </c>
    </row>
    <row r="25" customFormat="false" ht="13.8" hidden="false" customHeight="false" outlineLevel="0" collapsed="false">
      <c r="E25" s="0" t="n">
        <f aca="false">E21</f>
        <v>226</v>
      </c>
      <c r="F25" s="0" t="n">
        <f aca="false">F21</f>
        <v>10576</v>
      </c>
      <c r="G25" s="0" t="n">
        <f aca="false">G21</f>
        <v>45</v>
      </c>
      <c r="H25" s="0" t="n">
        <f aca="false">H21</f>
        <v>0</v>
      </c>
      <c r="I25" s="0" t="n">
        <f aca="false">I21</f>
        <v>1</v>
      </c>
      <c r="J25" s="0" t="n">
        <f aca="false">J21</f>
        <v>0</v>
      </c>
    </row>
    <row r="26" customFormat="false" ht="13.8" hidden="false" customHeight="false" outlineLevel="0" collapsed="false">
      <c r="E26" s="0" t="n">
        <f aca="false">E22</f>
        <v>1</v>
      </c>
      <c r="F26" s="0" t="n">
        <f aca="false">F22</f>
        <v>45</v>
      </c>
      <c r="G26" s="0" t="n">
        <f aca="false">G22</f>
        <v>1</v>
      </c>
      <c r="H26" s="0" t="n">
        <f aca="false">H22</f>
        <v>0</v>
      </c>
      <c r="I26" s="0" t="n">
        <f aca="false">I22</f>
        <v>0</v>
      </c>
      <c r="J26" s="0" t="n">
        <f aca="false">J22</f>
        <v>1</v>
      </c>
    </row>
    <row r="28" customFormat="false" ht="13.8" hidden="false" customHeight="false" outlineLevel="0" collapsed="false">
      <c r="E28" s="0" t="n">
        <f aca="false">E24</f>
        <v>226</v>
      </c>
      <c r="F28" s="0" t="n">
        <f aca="false">F24</f>
        <v>10215.2</v>
      </c>
      <c r="G28" s="0" t="n">
        <f aca="false">G24</f>
        <v>45.2</v>
      </c>
      <c r="H28" s="0" t="n">
        <f aca="false">H24</f>
        <v>45.2</v>
      </c>
      <c r="I28" s="0" t="n">
        <f aca="false">I24</f>
        <v>0</v>
      </c>
      <c r="J28" s="0" t="n">
        <f aca="false">J24</f>
        <v>0</v>
      </c>
    </row>
    <row r="29" customFormat="false" ht="13.8" hidden="false" customHeight="false" outlineLevel="0" collapsed="false">
      <c r="E29" s="0" t="n">
        <f aca="false">E25-E24</f>
        <v>0</v>
      </c>
      <c r="F29" s="0" t="n">
        <f aca="false">F25-F24</f>
        <v>360.799999999999</v>
      </c>
      <c r="G29" s="0" t="n">
        <f aca="false">G25-G24</f>
        <v>-0.200000000000003</v>
      </c>
      <c r="H29" s="0" t="n">
        <f aca="false">H25-H24</f>
        <v>-45.2</v>
      </c>
      <c r="I29" s="0" t="n">
        <f aca="false">I25-I24</f>
        <v>1</v>
      </c>
      <c r="J29" s="0" t="n">
        <f aca="false">J25-J24</f>
        <v>0</v>
      </c>
    </row>
    <row r="30" customFormat="false" ht="13.8" hidden="false" customHeight="false" outlineLevel="0" collapsed="false">
      <c r="E30" s="0" t="n">
        <f aca="false">E26</f>
        <v>1</v>
      </c>
      <c r="F30" s="0" t="n">
        <f aca="false">F26</f>
        <v>45</v>
      </c>
      <c r="G30" s="0" t="n">
        <f aca="false">G26</f>
        <v>1</v>
      </c>
      <c r="H30" s="0" t="n">
        <f aca="false">H26</f>
        <v>0</v>
      </c>
      <c r="I30" s="0" t="n">
        <f aca="false">I26</f>
        <v>0</v>
      </c>
      <c r="J30" s="0" t="n">
        <f aca="false">J26</f>
        <v>1</v>
      </c>
    </row>
    <row r="32" customFormat="false" ht="13.8" hidden="false" customHeight="false" outlineLevel="0" collapsed="false">
      <c r="D32" s="0" t="n">
        <f aca="false">1/226</f>
        <v>0.00442477876106195</v>
      </c>
      <c r="E32" s="0" t="n">
        <f aca="false">E28*$D32</f>
        <v>1</v>
      </c>
      <c r="F32" s="0" t="n">
        <f aca="false">F28*$D32</f>
        <v>45.2</v>
      </c>
      <c r="G32" s="0" t="n">
        <f aca="false">G28*$D32</f>
        <v>0.2</v>
      </c>
      <c r="H32" s="0" t="n">
        <f aca="false">H28*$D32</f>
        <v>0.2</v>
      </c>
      <c r="I32" s="0" t="n">
        <f aca="false">I28*$D32</f>
        <v>0</v>
      </c>
      <c r="J32" s="0" t="n">
        <f aca="false">J28*$D32</f>
        <v>0</v>
      </c>
    </row>
    <row r="33" customFormat="false" ht="13.8" hidden="false" customHeight="false" outlineLevel="0" collapsed="false">
      <c r="E33" s="0" t="n">
        <f aca="false">E29</f>
        <v>0</v>
      </c>
      <c r="F33" s="0" t="n">
        <f aca="false">F29</f>
        <v>360.799999999999</v>
      </c>
      <c r="G33" s="0" t="n">
        <f aca="false">G29</f>
        <v>-0.200000000000003</v>
      </c>
      <c r="H33" s="0" t="n">
        <f aca="false">H29</f>
        <v>-45.2</v>
      </c>
      <c r="I33" s="0" t="n">
        <f aca="false">I29</f>
        <v>1</v>
      </c>
      <c r="J33" s="0" t="n">
        <f aca="false">J29</f>
        <v>0</v>
      </c>
    </row>
    <row r="34" customFormat="false" ht="13.8" hidden="false" customHeight="false" outlineLevel="0" collapsed="false">
      <c r="E34" s="0" t="n">
        <f aca="false">E30</f>
        <v>1</v>
      </c>
      <c r="F34" s="0" t="n">
        <f aca="false">F30</f>
        <v>45</v>
      </c>
      <c r="G34" s="0" t="n">
        <f aca="false">G30</f>
        <v>1</v>
      </c>
      <c r="H34" s="0" t="n">
        <f aca="false">H30</f>
        <v>0</v>
      </c>
      <c r="I34" s="0" t="n">
        <f aca="false">I30</f>
        <v>0</v>
      </c>
      <c r="J34" s="0" t="n">
        <f aca="false">J30</f>
        <v>1</v>
      </c>
    </row>
    <row r="36" customFormat="false" ht="13.8" hidden="false" customHeight="false" outlineLevel="0" collapsed="false">
      <c r="E36" s="0" t="n">
        <f aca="false">E32</f>
        <v>1</v>
      </c>
      <c r="F36" s="0" t="n">
        <f aca="false">F32</f>
        <v>45.2</v>
      </c>
      <c r="G36" s="0" t="n">
        <f aca="false">G32</f>
        <v>0.2</v>
      </c>
      <c r="H36" s="0" t="n">
        <f aca="false">H32</f>
        <v>0.2</v>
      </c>
      <c r="I36" s="0" t="n">
        <f aca="false">I32</f>
        <v>0</v>
      </c>
      <c r="J36" s="0" t="n">
        <f aca="false">J32</f>
        <v>0</v>
      </c>
    </row>
    <row r="37" customFormat="false" ht="13.8" hidden="false" customHeight="false" outlineLevel="0" collapsed="false">
      <c r="E37" s="0" t="n">
        <f aca="false">E33</f>
        <v>0</v>
      </c>
      <c r="F37" s="0" t="n">
        <f aca="false">F33</f>
        <v>360.799999999999</v>
      </c>
      <c r="G37" s="0" t="n">
        <f aca="false">G33</f>
        <v>-0.200000000000003</v>
      </c>
      <c r="H37" s="0" t="n">
        <f aca="false">H33</f>
        <v>-45.2</v>
      </c>
      <c r="I37" s="0" t="n">
        <f aca="false">I33</f>
        <v>1</v>
      </c>
      <c r="J37" s="0" t="n">
        <f aca="false">J33</f>
        <v>0</v>
      </c>
    </row>
    <row r="38" customFormat="false" ht="13.8" hidden="false" customHeight="false" outlineLevel="0" collapsed="false">
      <c r="E38" s="0" t="n">
        <f aca="false">E34-E32</f>
        <v>0</v>
      </c>
      <c r="F38" s="0" t="n">
        <f aca="false">F34-F32</f>
        <v>-0.200000000000003</v>
      </c>
      <c r="G38" s="0" t="n">
        <f aca="false">G34-G32</f>
        <v>0.8</v>
      </c>
      <c r="H38" s="0" t="n">
        <f aca="false">H34-H32</f>
        <v>-0.2</v>
      </c>
      <c r="I38" s="0" t="n">
        <f aca="false">I34-I32</f>
        <v>0</v>
      </c>
      <c r="J38" s="0" t="n">
        <f aca="false">J34-J32</f>
        <v>1</v>
      </c>
    </row>
    <row r="40" customFormat="false" ht="13.8" hidden="false" customHeight="false" outlineLevel="0" collapsed="false">
      <c r="E40" s="0" t="n">
        <f aca="false">E36</f>
        <v>1</v>
      </c>
      <c r="F40" s="0" t="n">
        <f aca="false">F36</f>
        <v>45.2</v>
      </c>
      <c r="G40" s="0" t="n">
        <f aca="false">G36</f>
        <v>0.2</v>
      </c>
      <c r="H40" s="0" t="n">
        <f aca="false">H36</f>
        <v>0.2</v>
      </c>
      <c r="I40" s="0" t="n">
        <f aca="false">I36</f>
        <v>0</v>
      </c>
      <c r="J40" s="0" t="n">
        <f aca="false">J36</f>
        <v>0</v>
      </c>
    </row>
    <row r="41" customFormat="false" ht="13.8" hidden="false" customHeight="false" outlineLevel="0" collapsed="false">
      <c r="D41" s="0" t="n">
        <f aca="false">1/360.8</f>
        <v>0.00277161862527716</v>
      </c>
      <c r="E41" s="0" t="n">
        <f aca="false">$D41*E37</f>
        <v>0</v>
      </c>
      <c r="F41" s="0" t="n">
        <f aca="false">$D41*F37</f>
        <v>0.999999999999998</v>
      </c>
      <c r="G41" s="0" t="n">
        <f aca="false">$D41*G37</f>
        <v>-0.00055432372505544</v>
      </c>
      <c r="H41" s="0" t="n">
        <f aca="false">$D41*H37</f>
        <v>-0.125277161862528</v>
      </c>
      <c r="I41" s="0" t="n">
        <f aca="false">$D41*I37</f>
        <v>0.00277161862527716</v>
      </c>
      <c r="J41" s="0" t="n">
        <f aca="false">$D41*J37</f>
        <v>0</v>
      </c>
    </row>
    <row r="42" customFormat="false" ht="13.8" hidden="false" customHeight="false" outlineLevel="0" collapsed="false">
      <c r="E42" s="0" t="n">
        <f aca="false">E38</f>
        <v>0</v>
      </c>
      <c r="F42" s="0" t="n">
        <f aca="false">F38</f>
        <v>-0.200000000000003</v>
      </c>
      <c r="G42" s="0" t="n">
        <f aca="false">G38</f>
        <v>0.8</v>
      </c>
      <c r="H42" s="0" t="n">
        <f aca="false">H38</f>
        <v>-0.2</v>
      </c>
      <c r="I42" s="0" t="n">
        <f aca="false">I38</f>
        <v>0</v>
      </c>
      <c r="J42" s="0" t="n">
        <f aca="false">J38</f>
        <v>1</v>
      </c>
    </row>
    <row r="44" customFormat="false" ht="13.8" hidden="false" customHeight="false" outlineLevel="0" collapsed="false">
      <c r="E44" s="0" t="n">
        <f aca="false">E40</f>
        <v>1</v>
      </c>
      <c r="F44" s="0" t="n">
        <f aca="false">F40</f>
        <v>45.2</v>
      </c>
      <c r="G44" s="0" t="n">
        <f aca="false">G40</f>
        <v>0.2</v>
      </c>
      <c r="H44" s="0" t="n">
        <f aca="false">H40</f>
        <v>0.2</v>
      </c>
      <c r="I44" s="0" t="n">
        <f aca="false">I40</f>
        <v>0</v>
      </c>
      <c r="J44" s="0" t="n">
        <f aca="false">J40</f>
        <v>0</v>
      </c>
    </row>
    <row r="45" customFormat="false" ht="13.8" hidden="false" customHeight="false" outlineLevel="0" collapsed="false">
      <c r="D45" s="0" t="n">
        <v>0.2</v>
      </c>
      <c r="E45" s="0" t="n">
        <f aca="false">$D45*E41</f>
        <v>0</v>
      </c>
      <c r="F45" s="0" t="n">
        <f aca="false">$D45*F41</f>
        <v>0.2</v>
      </c>
      <c r="G45" s="0" t="n">
        <f aca="false">$D45*G41</f>
        <v>-0.000110864745011088</v>
      </c>
      <c r="H45" s="0" t="n">
        <f aca="false">$D45*H41</f>
        <v>-0.0250554323725055</v>
      </c>
      <c r="I45" s="0" t="n">
        <f aca="false">$D45*I41</f>
        <v>0.000554323725055432</v>
      </c>
      <c r="J45" s="0" t="n">
        <f aca="false">$D45*J41</f>
        <v>0</v>
      </c>
    </row>
    <row r="46" customFormat="false" ht="13.8" hidden="false" customHeight="false" outlineLevel="0" collapsed="false">
      <c r="E46" s="0" t="n">
        <f aca="false">E42</f>
        <v>0</v>
      </c>
      <c r="F46" s="0" t="n">
        <f aca="false">F42</f>
        <v>-0.200000000000003</v>
      </c>
      <c r="G46" s="0" t="n">
        <f aca="false">G42</f>
        <v>0.8</v>
      </c>
      <c r="H46" s="0" t="n">
        <f aca="false">H42</f>
        <v>-0.2</v>
      </c>
      <c r="I46" s="0" t="n">
        <f aca="false">I42</f>
        <v>0</v>
      </c>
      <c r="J46" s="0" t="n">
        <f aca="false">J42</f>
        <v>1</v>
      </c>
    </row>
    <row r="48" customFormat="false" ht="13.8" hidden="false" customHeight="false" outlineLevel="0" collapsed="false">
      <c r="E48" s="0" t="n">
        <f aca="false">E44</f>
        <v>1</v>
      </c>
      <c r="F48" s="0" t="n">
        <f aca="false">F44</f>
        <v>45.2</v>
      </c>
      <c r="G48" s="0" t="n">
        <f aca="false">G44</f>
        <v>0.2</v>
      </c>
      <c r="H48" s="0" t="n">
        <f aca="false">H44</f>
        <v>0.2</v>
      </c>
      <c r="I48" s="0" t="n">
        <f aca="false">I44</f>
        <v>0</v>
      </c>
      <c r="J48" s="0" t="n">
        <f aca="false">J44</f>
        <v>0</v>
      </c>
    </row>
    <row r="49" customFormat="false" ht="13.8" hidden="false" customHeight="false" outlineLevel="0" collapsed="false">
      <c r="E49" s="0" t="n">
        <f aca="false">E45</f>
        <v>0</v>
      </c>
      <c r="F49" s="0" t="n">
        <f aca="false">F45</f>
        <v>0.2</v>
      </c>
      <c r="G49" s="0" t="n">
        <f aca="false">G45</f>
        <v>-0.000110864745011088</v>
      </c>
      <c r="H49" s="0" t="n">
        <f aca="false">H45</f>
        <v>-0.0250554323725055</v>
      </c>
      <c r="I49" s="0" t="n">
        <f aca="false">I45</f>
        <v>0.000554323725055432</v>
      </c>
      <c r="J49" s="0" t="n">
        <f aca="false">J45</f>
        <v>0</v>
      </c>
    </row>
    <row r="50" customFormat="false" ht="13.8" hidden="false" customHeight="false" outlineLevel="0" collapsed="false">
      <c r="E50" s="0" t="n">
        <f aca="false">E46+E45</f>
        <v>0</v>
      </c>
      <c r="F50" s="0" t="n">
        <f aca="false">ROUND(F46+F45,6)</f>
        <v>-0</v>
      </c>
      <c r="G50" s="0" t="n">
        <f aca="false">G46+G45</f>
        <v>0.799889135254989</v>
      </c>
      <c r="H50" s="0" t="n">
        <f aca="false">H46+H45</f>
        <v>-0.225055432372506</v>
      </c>
      <c r="I50" s="0" t="n">
        <f aca="false">I46+I45</f>
        <v>0.000554323725055432</v>
      </c>
      <c r="J50" s="0" t="n">
        <f aca="false">J46+J45</f>
        <v>1</v>
      </c>
    </row>
    <row r="52" customFormat="false" ht="13.8" hidden="false" customHeight="false" outlineLevel="0" collapsed="false">
      <c r="E52" s="0" t="n">
        <f aca="false">E48</f>
        <v>1</v>
      </c>
      <c r="F52" s="0" t="n">
        <f aca="false">F48</f>
        <v>45.2</v>
      </c>
      <c r="G52" s="0" t="n">
        <f aca="false">G48</f>
        <v>0.2</v>
      </c>
      <c r="H52" s="0" t="n">
        <f aca="false">H48</f>
        <v>0.2</v>
      </c>
      <c r="I52" s="0" t="n">
        <f aca="false">I48</f>
        <v>0</v>
      </c>
      <c r="J52" s="0" t="n">
        <f aca="false">J48</f>
        <v>0</v>
      </c>
    </row>
    <row r="53" customFormat="false" ht="13.8" hidden="false" customHeight="false" outlineLevel="0" collapsed="false">
      <c r="D53" s="0" t="n">
        <f aca="false">45.2/0.2</f>
        <v>226</v>
      </c>
      <c r="E53" s="0" t="n">
        <f aca="false">$D53*E49</f>
        <v>0</v>
      </c>
      <c r="F53" s="0" t="n">
        <f aca="false">$D53*F49</f>
        <v>45.1999999999999</v>
      </c>
      <c r="G53" s="0" t="n">
        <f aca="false">$D53*G49</f>
        <v>-0.0250554323725059</v>
      </c>
      <c r="H53" s="0" t="n">
        <f aca="false">$D53*H49</f>
        <v>-5.66252771618625</v>
      </c>
      <c r="I53" s="0" t="n">
        <f aca="false">$D53*I49</f>
        <v>0.125277161862528</v>
      </c>
      <c r="J53" s="0" t="n">
        <f aca="false">$D53*J49</f>
        <v>0</v>
      </c>
    </row>
    <row r="54" customFormat="false" ht="13.8" hidden="false" customHeight="false" outlineLevel="0" collapsed="false">
      <c r="E54" s="0" t="n">
        <f aca="false">E50</f>
        <v>0</v>
      </c>
      <c r="F54" s="0" t="n">
        <f aca="false">F50</f>
        <v>-0</v>
      </c>
      <c r="G54" s="0" t="n">
        <f aca="false">G50</f>
        <v>0.799889135254989</v>
      </c>
      <c r="H54" s="0" t="n">
        <f aca="false">H50</f>
        <v>-0.225055432372506</v>
      </c>
      <c r="I54" s="0" t="n">
        <f aca="false">I50</f>
        <v>0.000554323725055432</v>
      </c>
      <c r="J54" s="0" t="n">
        <f aca="false">J50</f>
        <v>1</v>
      </c>
    </row>
    <row r="56" customFormat="false" ht="13.8" hidden="false" customHeight="false" outlineLevel="0" collapsed="false">
      <c r="E56" s="0" t="n">
        <f aca="false">E52-E53</f>
        <v>1</v>
      </c>
      <c r="F56" s="0" t="n">
        <f aca="false">F52-F53</f>
        <v>0</v>
      </c>
      <c r="G56" s="0" t="n">
        <f aca="false">G52-G53</f>
        <v>0.225055432372506</v>
      </c>
      <c r="H56" s="0" t="n">
        <f aca="false">H52-H53</f>
        <v>5.86252771618625</v>
      </c>
      <c r="I56" s="0" t="n">
        <f aca="false">I52-I53</f>
        <v>-0.125277161862528</v>
      </c>
      <c r="J56" s="0" t="n">
        <f aca="false">J52-J53</f>
        <v>0</v>
      </c>
    </row>
    <row r="57" customFormat="false" ht="13.8" hidden="false" customHeight="false" outlineLevel="0" collapsed="false">
      <c r="D57" s="0" t="n">
        <f aca="false">1/45.2</f>
        <v>0.0221238938053097</v>
      </c>
      <c r="E57" s="0" t="n">
        <f aca="false">$D57*E53</f>
        <v>0</v>
      </c>
      <c r="F57" s="0" t="n">
        <f aca="false">$D57*F53</f>
        <v>0.999999999999998</v>
      </c>
      <c r="G57" s="0" t="n">
        <f aca="false">$D57*G53</f>
        <v>-0.00055432372505544</v>
      </c>
      <c r="H57" s="0" t="n">
        <f aca="false">$D57*H53</f>
        <v>-0.125277161862528</v>
      </c>
      <c r="I57" s="0" t="n">
        <f aca="false">$D57*I53</f>
        <v>0.00277161862527716</v>
      </c>
      <c r="J57" s="0" t="n">
        <f aca="false">$D57*J53</f>
        <v>0</v>
      </c>
    </row>
    <row r="58" customFormat="false" ht="13.8" hidden="false" customHeight="false" outlineLevel="0" collapsed="false">
      <c r="D58" s="0" t="n">
        <f aca="false">1/G54</f>
        <v>1.25017325017325</v>
      </c>
      <c r="E58" s="0" t="n">
        <f aca="false">$D58*E54</f>
        <v>0</v>
      </c>
      <c r="F58" s="0" t="n">
        <f aca="false">$D58*F54</f>
        <v>-0</v>
      </c>
      <c r="G58" s="0" t="n">
        <f aca="false">$D58*G54</f>
        <v>1</v>
      </c>
      <c r="H58" s="0" t="n">
        <f aca="false">$D58*H54</f>
        <v>-0.281358281358281</v>
      </c>
      <c r="I58" s="0" t="n">
        <f aca="false">$D58*I54</f>
        <v>0.000693000693000693</v>
      </c>
      <c r="J58" s="0" t="n">
        <f aca="false">$D58*J54</f>
        <v>1.25017325017325</v>
      </c>
    </row>
    <row r="60" customFormat="false" ht="13.8" hidden="false" customHeight="false" outlineLevel="0" collapsed="false">
      <c r="E60" s="0" t="n">
        <f aca="false">E56</f>
        <v>1</v>
      </c>
      <c r="F60" s="0" t="n">
        <f aca="false">F56</f>
        <v>0</v>
      </c>
      <c r="G60" s="0" t="n">
        <f aca="false">G56</f>
        <v>0.225055432372506</v>
      </c>
      <c r="H60" s="0" t="n">
        <f aca="false">H56</f>
        <v>5.86252771618625</v>
      </c>
      <c r="I60" s="0" t="n">
        <f aca="false">I56</f>
        <v>-0.125277161862528</v>
      </c>
      <c r="J60" s="0" t="n">
        <f aca="false">J56</f>
        <v>0</v>
      </c>
    </row>
    <row r="61" customFormat="false" ht="13.8" hidden="false" customHeight="false" outlineLevel="0" collapsed="false">
      <c r="E61" s="0" t="n">
        <f aca="false">E57</f>
        <v>0</v>
      </c>
      <c r="F61" s="0" t="n">
        <f aca="false">F57</f>
        <v>0.999999999999998</v>
      </c>
      <c r="G61" s="0" t="n">
        <f aca="false">G57</f>
        <v>-0.00055432372505544</v>
      </c>
      <c r="H61" s="0" t="n">
        <f aca="false">H57</f>
        <v>-0.125277161862528</v>
      </c>
      <c r="I61" s="0" t="n">
        <f aca="false">I57</f>
        <v>0.00277161862527716</v>
      </c>
      <c r="J61" s="0" t="n">
        <f aca="false">J57</f>
        <v>0</v>
      </c>
    </row>
    <row r="62" customFormat="false" ht="13.8" hidden="false" customHeight="false" outlineLevel="0" collapsed="false">
      <c r="D62" s="0" t="n">
        <f aca="false">G60</f>
        <v>0.225055432372506</v>
      </c>
      <c r="E62" s="0" t="n">
        <f aca="false">$D62*E58</f>
        <v>0</v>
      </c>
      <c r="F62" s="0" t="n">
        <f aca="false">$D62*F58</f>
        <v>-0</v>
      </c>
      <c r="G62" s="0" t="n">
        <f aca="false">$D62*G58</f>
        <v>0.225055432372506</v>
      </c>
      <c r="H62" s="0" t="n">
        <f aca="false">$D62*H58</f>
        <v>-0.0633212096626732</v>
      </c>
      <c r="I62" s="0" t="n">
        <f aca="false">$D62*I58</f>
        <v>0.000155963570597717</v>
      </c>
      <c r="J62" s="0" t="n">
        <f aca="false">$D62*J58</f>
        <v>0.281358281358282</v>
      </c>
    </row>
    <row r="64" customFormat="false" ht="13.8" hidden="false" customHeight="false" outlineLevel="0" collapsed="false">
      <c r="E64" s="0" t="n">
        <f aca="false">E60-E62</f>
        <v>1</v>
      </c>
      <c r="F64" s="0" t="n">
        <f aca="false">F60-F62</f>
        <v>0</v>
      </c>
      <c r="G64" s="0" t="n">
        <f aca="false">G60-G62</f>
        <v>0</v>
      </c>
      <c r="H64" s="0" t="n">
        <f aca="false">H60-H62</f>
        <v>5.92584892584893</v>
      </c>
      <c r="I64" s="0" t="n">
        <f aca="false">I60-I62</f>
        <v>-0.125433125433125</v>
      </c>
      <c r="J64" s="0" t="n">
        <f aca="false">J60-J62</f>
        <v>-0.281358281358282</v>
      </c>
    </row>
    <row r="65" customFormat="false" ht="13.8" hidden="false" customHeight="false" outlineLevel="0" collapsed="false">
      <c r="E65" s="0" t="n">
        <f aca="false">E61</f>
        <v>0</v>
      </c>
      <c r="F65" s="0" t="n">
        <f aca="false">F61</f>
        <v>0.999999999999998</v>
      </c>
      <c r="G65" s="0" t="n">
        <f aca="false">G61</f>
        <v>-0.00055432372505544</v>
      </c>
      <c r="H65" s="0" t="n">
        <f aca="false">H61</f>
        <v>-0.125277161862528</v>
      </c>
      <c r="I65" s="0" t="n">
        <f aca="false">I61</f>
        <v>0.00277161862527716</v>
      </c>
      <c r="J65" s="0" t="n">
        <f aca="false">J61</f>
        <v>0</v>
      </c>
    </row>
    <row r="66" customFormat="false" ht="13.8" hidden="false" customHeight="false" outlineLevel="0" collapsed="false">
      <c r="D66" s="0" t="n">
        <f aca="false">1/D62</f>
        <v>4.44334975369457</v>
      </c>
      <c r="E66" s="0" t="n">
        <f aca="false">$D66*E62</f>
        <v>0</v>
      </c>
      <c r="F66" s="0" t="n">
        <f aca="false">$D66*F62</f>
        <v>-0</v>
      </c>
      <c r="G66" s="0" t="n">
        <f aca="false">$D66*G62</f>
        <v>1</v>
      </c>
      <c r="H66" s="0" t="n">
        <f aca="false">$D66*H62</f>
        <v>-0.281358281358281</v>
      </c>
      <c r="I66" s="0" t="n">
        <f aca="false">$D66*I62</f>
        <v>0.000693000693000693</v>
      </c>
      <c r="J66" s="0" t="n">
        <f aca="false">$D66*J62</f>
        <v>1.25017325017325</v>
      </c>
    </row>
    <row r="68" customFormat="false" ht="13.8" hidden="false" customHeight="false" outlineLevel="0" collapsed="false">
      <c r="E68" s="0" t="n">
        <f aca="false">E64</f>
        <v>1</v>
      </c>
      <c r="F68" s="0" t="n">
        <f aca="false">F64</f>
        <v>0</v>
      </c>
      <c r="G68" s="0" t="n">
        <f aca="false">G64</f>
        <v>0</v>
      </c>
      <c r="H68" s="0" t="n">
        <f aca="false">H64</f>
        <v>5.92584892584893</v>
      </c>
      <c r="I68" s="0" t="n">
        <f aca="false">I64</f>
        <v>-0.125433125433125</v>
      </c>
      <c r="J68" s="0" t="n">
        <f aca="false">J64</f>
        <v>-0.281358281358282</v>
      </c>
    </row>
    <row r="69" customFormat="false" ht="13.8" hidden="false" customHeight="false" outlineLevel="0" collapsed="false">
      <c r="E69" s="0" t="n">
        <f aca="false">E65</f>
        <v>0</v>
      </c>
      <c r="F69" s="0" t="n">
        <f aca="false">F65</f>
        <v>0.999999999999998</v>
      </c>
      <c r="G69" s="0" t="n">
        <f aca="false">G65</f>
        <v>-0.00055432372505544</v>
      </c>
      <c r="H69" s="0" t="n">
        <f aca="false">H65</f>
        <v>-0.125277161862528</v>
      </c>
      <c r="I69" s="0" t="n">
        <f aca="false">I65</f>
        <v>0.00277161862527716</v>
      </c>
      <c r="J69" s="0" t="n">
        <f aca="false">J65</f>
        <v>0</v>
      </c>
    </row>
    <row r="70" customFormat="false" ht="13.8" hidden="false" customHeight="false" outlineLevel="0" collapsed="false">
      <c r="D70" s="0" t="n">
        <f aca="false">-G69</f>
        <v>0.00055432372505544</v>
      </c>
      <c r="E70" s="0" t="n">
        <f aca="false">$D70*E66</f>
        <v>0</v>
      </c>
      <c r="F70" s="0" t="n">
        <f aca="false">$D70*F66</f>
        <v>-0</v>
      </c>
      <c r="G70" s="0" t="n">
        <f aca="false">$D70*G66</f>
        <v>0.00055432372505544</v>
      </c>
      <c r="H70" s="0" t="n">
        <f aca="false">$D70*H66</f>
        <v>-0.000155963570597719</v>
      </c>
      <c r="I70" s="0" t="n">
        <f aca="false">$D70*I66</f>
        <v>3.84146725610146E-007</v>
      </c>
      <c r="J70" s="0" t="n">
        <f aca="false">$D70*J66</f>
        <v>0.000693000693000703</v>
      </c>
    </row>
    <row r="72" customFormat="false" ht="13.8" hidden="false" customHeight="false" outlineLevel="0" collapsed="false">
      <c r="E72" s="0" t="n">
        <f aca="false">E68</f>
        <v>1</v>
      </c>
      <c r="F72" s="0" t="n">
        <f aca="false">F68</f>
        <v>0</v>
      </c>
      <c r="G72" s="0" t="n">
        <f aca="false">G68</f>
        <v>0</v>
      </c>
      <c r="H72" s="0" t="n">
        <f aca="false">H68</f>
        <v>5.92584892584893</v>
      </c>
      <c r="I72" s="0" t="n">
        <f aca="false">I68</f>
        <v>-0.125433125433125</v>
      </c>
      <c r="J72" s="0" t="n">
        <f aca="false">J68</f>
        <v>-0.281358281358282</v>
      </c>
      <c r="L72" s="0" t="n">
        <v>12200</v>
      </c>
    </row>
    <row r="73" customFormat="false" ht="13.8" hidden="false" customHeight="false" outlineLevel="0" collapsed="false">
      <c r="E73" s="0" t="n">
        <f aca="false">E69+E70</f>
        <v>0</v>
      </c>
      <c r="F73" s="0" t="n">
        <f aca="false">F69+F70</f>
        <v>0.999999999999998</v>
      </c>
      <c r="G73" s="0" t="n">
        <f aca="false">G69+G70</f>
        <v>0</v>
      </c>
      <c r="H73" s="0" t="n">
        <f aca="false">H69+H70</f>
        <v>-0.125433125433125</v>
      </c>
      <c r="I73" s="0" t="n">
        <f aca="false">I69+I70</f>
        <v>0.00277200277200277</v>
      </c>
      <c r="J73" s="0" t="n">
        <f aca="false">J69+J70</f>
        <v>0.000693000693000703</v>
      </c>
      <c r="L73" s="0" t="n">
        <v>558200</v>
      </c>
    </row>
    <row r="74" customFormat="false" ht="13.8" hidden="false" customHeight="false" outlineLevel="0" collapsed="false">
      <c r="D74" s="0" t="n">
        <f aca="false">1/D70</f>
        <v>1803.99999999997</v>
      </c>
      <c r="E74" s="0" t="n">
        <f aca="false">E70*$D74</f>
        <v>0</v>
      </c>
      <c r="F74" s="0" t="n">
        <f aca="false">F70*$D74</f>
        <v>-0</v>
      </c>
      <c r="G74" s="0" t="n">
        <f aca="false">G70*$D74</f>
        <v>1</v>
      </c>
      <c r="H74" s="0" t="n">
        <f aca="false">H70*$D74</f>
        <v>-0.281358281358281</v>
      </c>
      <c r="I74" s="0" t="n">
        <f aca="false">I70*$D74</f>
        <v>0.000693000693000693</v>
      </c>
      <c r="J74" s="0" t="n">
        <f aca="false">J70*$D74</f>
        <v>1.25017325017325</v>
      </c>
      <c r="L74" s="0" t="n">
        <v>4500</v>
      </c>
    </row>
    <row r="76" customFormat="false" ht="13.8" hidden="false" customHeight="false" outlineLevel="0" collapsed="false">
      <c r="G76" s="0" t="n">
        <f aca="false">H76+I76+J76</f>
        <v>1012.474012474</v>
      </c>
      <c r="H76" s="0" t="n">
        <f aca="false">H72*L$72</f>
        <v>72295.3568953569</v>
      </c>
      <c r="I76" s="0" t="n">
        <f aca="false">I72*L$73</f>
        <v>-70016.7706167706</v>
      </c>
      <c r="J76" s="0" t="n">
        <f aca="false">J72*L$74</f>
        <v>-1266.11226611227</v>
      </c>
    </row>
    <row r="77" customFormat="false" ht="13.8" hidden="false" customHeight="false" outlineLevel="0" collapsed="false">
      <c r="G77" s="0" t="n">
        <f aca="false">H77+I77+J77</f>
        <v>20.16632016632</v>
      </c>
      <c r="H77" s="0" t="n">
        <f aca="false">H73*L$72</f>
        <v>-1530.28413028413</v>
      </c>
      <c r="I77" s="0" t="n">
        <f aca="false">I73*L$73</f>
        <v>1547.33194733195</v>
      </c>
      <c r="J77" s="0" t="n">
        <f aca="false">J73*L$74</f>
        <v>3.11850311850316</v>
      </c>
    </row>
    <row r="78" customFormat="false" ht="13.8" hidden="false" customHeight="false" outlineLevel="0" collapsed="false">
      <c r="G78" s="0" t="n">
        <f aca="false">H78+I78+J78</f>
        <v>2580.04158004158</v>
      </c>
      <c r="H78" s="0" t="n">
        <f aca="false">H74*L$72</f>
        <v>-3432.57103257103</v>
      </c>
      <c r="I78" s="0" t="n">
        <f aca="false">I74*L$73</f>
        <v>386.832986832987</v>
      </c>
      <c r="J78" s="0" t="n">
        <f aca="false">J74*L$74</f>
        <v>5625.77962577962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E158"/>
  <sheetViews>
    <sheetView showFormulas="false" showGridLines="true" showRowColHeaders="true" showZeros="true" rightToLeft="false" tabSelected="false" showOutlineSymbols="true" defaultGridColor="true" view="normal" topLeftCell="A148" colorId="64" zoomScale="110" zoomScaleNormal="110" zoomScalePageLayoutView="100" workbookViewId="0">
      <selection pane="topLeft" activeCell="D71" activeCellId="0" sqref="D71"/>
    </sheetView>
  </sheetViews>
  <sheetFormatPr defaultColWidth="8.59765625" defaultRowHeight="14.25" zeroHeight="false" outlineLevelRow="0" outlineLevelCol="0"/>
  <cols>
    <col collapsed="false" customWidth="true" hidden="false" outlineLevel="0" max="9" min="7" style="0" width="7.64"/>
    <col collapsed="false" customWidth="true" hidden="false" outlineLevel="0" max="11" min="11" style="0" width="6.09"/>
    <col collapsed="false" customWidth="true" hidden="false" outlineLevel="0" max="26" min="26" style="0" width="12.73"/>
  </cols>
  <sheetData>
    <row r="1" customFormat="false" ht="14.25" hidden="false" customHeight="false" outlineLevel="0" collapsed="false">
      <c r="B1" s="1" t="s">
        <v>0</v>
      </c>
    </row>
    <row r="2" customFormat="false" ht="14.25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customFormat="false" ht="14.25" hidden="false" customHeight="false" outlineLevel="0" collapsed="false">
      <c r="B3" s="3" t="n">
        <v>3</v>
      </c>
      <c r="C3" s="3" t="n">
        <v>51</v>
      </c>
      <c r="D3" s="3" t="n">
        <v>3</v>
      </c>
      <c r="E3" s="3" t="n">
        <v>0</v>
      </c>
      <c r="F3" s="3" t="n">
        <v>1</v>
      </c>
      <c r="G3" s="3" t="n">
        <v>0</v>
      </c>
      <c r="H3" s="3" t="n">
        <v>2200</v>
      </c>
    </row>
    <row r="4" customFormat="false" ht="14.25" hidden="false" customHeight="false" outlineLevel="0" collapsed="false">
      <c r="B4" s="4" t="n">
        <v>1</v>
      </c>
      <c r="C4" s="4" t="n">
        <v>30</v>
      </c>
      <c r="D4" s="4" t="n">
        <v>1</v>
      </c>
      <c r="E4" s="4" t="n">
        <v>0</v>
      </c>
      <c r="F4" s="4" t="n">
        <v>1</v>
      </c>
      <c r="G4" s="4" t="n">
        <v>0</v>
      </c>
      <c r="H4" s="4" t="n">
        <v>1600</v>
      </c>
    </row>
    <row r="5" customFormat="false" ht="14.25" hidden="false" customHeight="false" outlineLevel="0" collapsed="false">
      <c r="B5" s="4" t="n">
        <v>2</v>
      </c>
      <c r="C5" s="4" t="n">
        <v>45</v>
      </c>
      <c r="D5" s="4" t="n">
        <v>2</v>
      </c>
      <c r="E5" s="4" t="n">
        <v>0</v>
      </c>
      <c r="F5" s="4" t="n">
        <v>1</v>
      </c>
      <c r="G5" s="4" t="n">
        <v>0</v>
      </c>
      <c r="H5" s="4" t="n">
        <v>1900</v>
      </c>
    </row>
    <row r="6" customFormat="false" ht="14.25" hidden="false" customHeight="false" outlineLevel="0" collapsed="false">
      <c r="B6" s="4" t="n">
        <v>3</v>
      </c>
      <c r="C6" s="4" t="n">
        <v>55</v>
      </c>
      <c r="D6" s="4" t="n">
        <v>1</v>
      </c>
      <c r="E6" s="4" t="n">
        <v>0</v>
      </c>
      <c r="F6" s="4" t="n">
        <v>1</v>
      </c>
      <c r="G6" s="4" t="n">
        <v>0</v>
      </c>
      <c r="H6" s="4" t="n">
        <v>2000</v>
      </c>
    </row>
    <row r="7" customFormat="false" ht="14.25" hidden="false" customHeight="false" outlineLevel="0" collapsed="false">
      <c r="B7" s="4" t="n">
        <v>1</v>
      </c>
      <c r="C7" s="4" t="n">
        <v>45</v>
      </c>
      <c r="D7" s="4" t="n">
        <v>3</v>
      </c>
      <c r="E7" s="4" t="n">
        <v>1</v>
      </c>
      <c r="F7" s="4" t="n">
        <v>0</v>
      </c>
      <c r="G7" s="4" t="n">
        <v>0</v>
      </c>
      <c r="H7" s="4" t="n">
        <v>4500</v>
      </c>
    </row>
    <row r="9" customFormat="false" ht="22.05" hidden="false" customHeight="false" outlineLevel="0" collapsed="false">
      <c r="B9" s="5" t="s">
        <v>8</v>
      </c>
    </row>
    <row r="11" customFormat="false" ht="14.25" hidden="false" customHeight="false" outlineLevel="0" collapsed="false">
      <c r="B11" s="0" t="s">
        <v>9</v>
      </c>
    </row>
    <row r="12" customFormat="false" ht="14.25" hidden="false" customHeight="false" outlineLevel="0" collapsed="false">
      <c r="B12" s="0" t="s">
        <v>10</v>
      </c>
    </row>
    <row r="14" customFormat="false" ht="14.25" hidden="false" customHeight="false" outlineLevel="0" collapsed="false">
      <c r="D14" s="0" t="s">
        <v>11</v>
      </c>
    </row>
    <row r="15" customFormat="false" ht="14.25" hidden="false" customHeight="false" outlineLevel="0" collapsed="false">
      <c r="D15" s="0" t="s">
        <v>12</v>
      </c>
    </row>
    <row r="17" customFormat="false" ht="14.25" hidden="false" customHeight="false" outlineLevel="0" collapsed="false">
      <c r="B17" s="0" t="s">
        <v>13</v>
      </c>
      <c r="F17" s="0" t="s">
        <v>14</v>
      </c>
    </row>
    <row r="18" customFormat="false" ht="14.25" hidden="false" customHeight="false" outlineLevel="0" collapsed="false">
      <c r="B18" s="3" t="n">
        <v>3</v>
      </c>
      <c r="C18" s="3" t="n">
        <v>51</v>
      </c>
      <c r="D18" s="3" t="n">
        <v>3</v>
      </c>
      <c r="F18" s="3" t="n">
        <v>2200</v>
      </c>
    </row>
    <row r="19" customFormat="false" ht="14.25" hidden="false" customHeight="false" outlineLevel="0" collapsed="false">
      <c r="B19" s="4" t="n">
        <v>1</v>
      </c>
      <c r="C19" s="4" t="n">
        <v>30</v>
      </c>
      <c r="D19" s="4" t="n">
        <v>1</v>
      </c>
      <c r="F19" s="4" t="n">
        <v>1600</v>
      </c>
    </row>
    <row r="20" customFormat="false" ht="14.25" hidden="false" customHeight="false" outlineLevel="0" collapsed="false">
      <c r="B20" s="4" t="n">
        <v>2</v>
      </c>
      <c r="C20" s="4" t="n">
        <v>45</v>
      </c>
      <c r="D20" s="4" t="n">
        <v>2</v>
      </c>
      <c r="F20" s="4" t="n">
        <v>1900</v>
      </c>
    </row>
    <row r="22" customFormat="false" ht="14.25" hidden="false" customHeight="false" outlineLevel="0" collapsed="false">
      <c r="B22" s="6" t="s">
        <v>15</v>
      </c>
    </row>
    <row r="24" customFormat="false" ht="14.25" hidden="false" customHeight="false" outlineLevel="0" collapsed="false">
      <c r="B24" s="0" t="s">
        <v>16</v>
      </c>
    </row>
    <row r="25" customFormat="false" ht="14.25" hidden="false" customHeight="false" outlineLevel="0" collapsed="false">
      <c r="B25" s="0" t="s">
        <v>17</v>
      </c>
    </row>
    <row r="26" customFormat="false" ht="14.25" hidden="false" customHeight="false" outlineLevel="0" collapsed="false">
      <c r="B26" s="0" t="s">
        <v>18</v>
      </c>
      <c r="H26" s="0" t="s">
        <v>19</v>
      </c>
    </row>
    <row r="27" customFormat="false" ht="14.25" hidden="false" customHeight="false" outlineLevel="0" collapsed="false">
      <c r="B27" s="0" t="s">
        <v>20</v>
      </c>
    </row>
    <row r="28" customFormat="false" ht="14.25" hidden="false" customHeight="false" outlineLevel="0" collapsed="false">
      <c r="B28" s="0" t="s">
        <v>21</v>
      </c>
      <c r="H28" s="0" t="s">
        <v>19</v>
      </c>
    </row>
    <row r="29" customFormat="false" ht="14.25" hidden="false" customHeight="false" outlineLevel="0" collapsed="false">
      <c r="B29" s="0" t="s">
        <v>22</v>
      </c>
    </row>
    <row r="30" customFormat="false" ht="14.25" hidden="false" customHeight="false" outlineLevel="0" collapsed="false">
      <c r="B30" s="0" t="s">
        <v>23</v>
      </c>
    </row>
    <row r="31" customFormat="false" ht="14.25" hidden="false" customHeight="false" outlineLevel="0" collapsed="false">
      <c r="B31" s="0" t="s">
        <v>24</v>
      </c>
    </row>
    <row r="33" customFormat="false" ht="15" hidden="false" customHeight="false" outlineLevel="0" collapsed="false">
      <c r="B33" s="7" t="s">
        <v>25</v>
      </c>
    </row>
    <row r="34" customFormat="false" ht="28.5" hidden="false" customHeight="true" outlineLevel="0" collapsed="false">
      <c r="B34" s="6" t="s">
        <v>26</v>
      </c>
    </row>
    <row r="35" customFormat="false" ht="16.4" hidden="false" customHeight="false" outlineLevel="0" collapsed="false">
      <c r="B35" s="0" t="s">
        <v>27</v>
      </c>
    </row>
    <row r="36" customFormat="false" ht="14.25" hidden="false" customHeight="false" outlineLevel="0" collapsed="false">
      <c r="B36" s="0" t="s">
        <v>28</v>
      </c>
    </row>
    <row r="37" customFormat="false" ht="14.25" hidden="false" customHeight="false" outlineLevel="0" collapsed="false">
      <c r="B37" s="8" t="s">
        <v>29</v>
      </c>
      <c r="G37" s="6" t="s">
        <v>13</v>
      </c>
      <c r="K37" s="8" t="s">
        <v>14</v>
      </c>
    </row>
    <row r="38" customFormat="false" ht="14.25" hidden="false" customHeight="false" outlineLevel="0" collapsed="false">
      <c r="B38" s="9" t="n">
        <f aca="false">G38*K$38+H38*K$39+I38*K$40</f>
        <v>93900</v>
      </c>
      <c r="C38" s="10" t="s">
        <v>30</v>
      </c>
      <c r="G38" s="11" t="n">
        <v>3</v>
      </c>
      <c r="H38" s="11" t="n">
        <v>51</v>
      </c>
      <c r="I38" s="11" t="n">
        <v>3</v>
      </c>
      <c r="K38" s="9" t="n">
        <v>2200</v>
      </c>
      <c r="M38" s="10"/>
    </row>
    <row r="39" customFormat="false" ht="14.25" hidden="false" customHeight="false" outlineLevel="0" collapsed="false">
      <c r="B39" s="9" t="n">
        <f aca="false">G39*K$38+H39*K$39+I39*K$40</f>
        <v>52100</v>
      </c>
      <c r="C39" s="10" t="s">
        <v>31</v>
      </c>
      <c r="G39" s="11" t="n">
        <v>1</v>
      </c>
      <c r="H39" s="11" t="n">
        <v>30</v>
      </c>
      <c r="I39" s="11" t="n">
        <v>1</v>
      </c>
      <c r="K39" s="9" t="n">
        <v>1600</v>
      </c>
      <c r="M39" s="10"/>
    </row>
    <row r="40" customFormat="false" ht="14.25" hidden="false" customHeight="false" outlineLevel="0" collapsed="false">
      <c r="B40" s="9" t="n">
        <f aca="false">G40*K$38+H40*K$39+I40*K$40</f>
        <v>80200</v>
      </c>
      <c r="C40" s="10" t="s">
        <v>32</v>
      </c>
      <c r="G40" s="11" t="n">
        <v>2</v>
      </c>
      <c r="H40" s="11" t="n">
        <v>45</v>
      </c>
      <c r="I40" s="11" t="n">
        <v>2</v>
      </c>
      <c r="K40" s="9" t="n">
        <v>1900</v>
      </c>
      <c r="M40" s="10"/>
    </row>
    <row r="41" customFormat="false" ht="16.4" hidden="false" customHeight="false" outlineLevel="0" collapsed="false">
      <c r="B41" s="12" t="s">
        <v>33</v>
      </c>
    </row>
    <row r="42" customFormat="false" ht="14.25" hidden="false" customHeight="false" outlineLevel="0" collapsed="false">
      <c r="B42" s="12"/>
    </row>
    <row r="43" customFormat="false" ht="16.4" hidden="false" customHeight="false" outlineLevel="0" collapsed="false">
      <c r="B43" s="0" t="s">
        <v>34</v>
      </c>
    </row>
    <row r="44" customFormat="false" ht="14.25" hidden="false" customHeight="false" outlineLevel="0" collapsed="false">
      <c r="B44" s="8"/>
      <c r="K44" s="8" t="s">
        <v>29</v>
      </c>
    </row>
    <row r="45" customFormat="false" ht="14.25" hidden="false" customHeight="false" outlineLevel="0" collapsed="false">
      <c r="B45" s="9" t="n">
        <f aca="false">G45*K$45+H45*K$46+I45*K$47</f>
        <v>494200</v>
      </c>
      <c r="C45" s="10" t="s">
        <v>35</v>
      </c>
      <c r="G45" s="11" t="n">
        <v>3</v>
      </c>
      <c r="H45" s="11" t="n">
        <v>1</v>
      </c>
      <c r="I45" s="11" t="n">
        <v>2</v>
      </c>
      <c r="K45" s="9" t="n">
        <v>93900</v>
      </c>
      <c r="M45" s="10"/>
    </row>
    <row r="46" customFormat="false" ht="14.25" hidden="false" customHeight="false" outlineLevel="0" collapsed="false">
      <c r="B46" s="9" t="n">
        <f aca="false">G46*K$45+H46*K$46+I46*K$47</f>
        <v>9960900</v>
      </c>
      <c r="C46" s="10" t="s">
        <v>36</v>
      </c>
      <c r="G46" s="11" t="n">
        <v>51</v>
      </c>
      <c r="H46" s="11" t="n">
        <v>30</v>
      </c>
      <c r="I46" s="11" t="n">
        <v>45</v>
      </c>
      <c r="K46" s="9" t="n">
        <v>52100</v>
      </c>
      <c r="M46" s="10"/>
    </row>
    <row r="47" customFormat="false" ht="14.25" hidden="false" customHeight="false" outlineLevel="0" collapsed="false">
      <c r="B47" s="9" t="n">
        <f aca="false">G47*K$45+H47*K$46+I47*K$47</f>
        <v>494200</v>
      </c>
      <c r="C47" s="10" t="s">
        <v>35</v>
      </c>
      <c r="G47" s="11" t="n">
        <v>3</v>
      </c>
      <c r="H47" s="11" t="n">
        <v>1</v>
      </c>
      <c r="I47" s="11" t="n">
        <v>2</v>
      </c>
      <c r="K47" s="9" t="n">
        <v>80200</v>
      </c>
      <c r="M47" s="10"/>
    </row>
    <row r="48" customFormat="false" ht="16.4" hidden="false" customHeight="false" outlineLevel="0" collapsed="false">
      <c r="B48" s="12" t="s">
        <v>37</v>
      </c>
    </row>
    <row r="49" customFormat="false" ht="28.5" hidden="false" customHeight="true" outlineLevel="0" collapsed="false">
      <c r="B49" s="6" t="s">
        <v>38</v>
      </c>
    </row>
    <row r="50" customFormat="false" ht="16.4" hidden="false" customHeight="false" outlineLevel="0" collapsed="false">
      <c r="B50" s="0" t="s">
        <v>39</v>
      </c>
    </row>
    <row r="51" customFormat="false" ht="14.25" hidden="false" customHeight="false" outlineLevel="0" collapsed="false">
      <c r="C51" s="6" t="s">
        <v>40</v>
      </c>
      <c r="H51" s="13"/>
      <c r="L51" s="6" t="s">
        <v>13</v>
      </c>
    </row>
    <row r="52" customFormat="false" ht="14.25" hidden="false" customHeight="false" outlineLevel="0" collapsed="false">
      <c r="B52" s="9" t="n">
        <f aca="false">$G52*K$52+$H52*K$53+$I52*K$54</f>
        <v>14</v>
      </c>
      <c r="C52" s="9" t="n">
        <f aca="false">$G52*L$52+$H52*L$53+$I52*L$54</f>
        <v>273</v>
      </c>
      <c r="D52" s="9" t="n">
        <f aca="false">$G52*M$52+$H52*M$53+$I52*M$54</f>
        <v>14</v>
      </c>
      <c r="G52" s="11" t="n">
        <v>3</v>
      </c>
      <c r="H52" s="11" t="n">
        <v>1</v>
      </c>
      <c r="I52" s="11" t="n">
        <v>2</v>
      </c>
      <c r="K52" s="11" t="n">
        <v>3</v>
      </c>
      <c r="L52" s="11" t="n">
        <v>51</v>
      </c>
      <c r="M52" s="11" t="n">
        <v>3</v>
      </c>
    </row>
    <row r="53" customFormat="false" ht="14.25" hidden="false" customHeight="false" outlineLevel="0" collapsed="false">
      <c r="B53" s="9" t="n">
        <f aca="false">$G53*K$52+$H53*K$53+$I53*K$54</f>
        <v>273</v>
      </c>
      <c r="C53" s="9" t="n">
        <f aca="false">$G53*L$52+$H53*L$53+$I53*L$54</f>
        <v>5526</v>
      </c>
      <c r="D53" s="9" t="n">
        <f aca="false">$G53*M$52+$H53*M$53+$I53*M$54</f>
        <v>273</v>
      </c>
      <c r="G53" s="11" t="n">
        <v>51</v>
      </c>
      <c r="H53" s="11" t="n">
        <v>30</v>
      </c>
      <c r="I53" s="11" t="n">
        <v>45</v>
      </c>
      <c r="K53" s="11" t="n">
        <v>1</v>
      </c>
      <c r="L53" s="11" t="n">
        <v>30</v>
      </c>
      <c r="M53" s="11" t="n">
        <v>1</v>
      </c>
    </row>
    <row r="54" customFormat="false" ht="14.25" hidden="false" customHeight="false" outlineLevel="0" collapsed="false">
      <c r="B54" s="9" t="n">
        <f aca="false">$G54*K$52+$H54*K$53+$I54*K$54</f>
        <v>14</v>
      </c>
      <c r="C54" s="9" t="n">
        <f aca="false">$G54*L$52+$H54*L$53+$I54*L$54</f>
        <v>273</v>
      </c>
      <c r="D54" s="9" t="n">
        <f aca="false">$G54*M$52+$H54*M$53+$I54*M$54</f>
        <v>14</v>
      </c>
      <c r="G54" s="11" t="n">
        <v>3</v>
      </c>
      <c r="H54" s="11" t="n">
        <v>1</v>
      </c>
      <c r="I54" s="11" t="n">
        <v>2</v>
      </c>
      <c r="K54" s="11" t="n">
        <v>2</v>
      </c>
      <c r="L54" s="11" t="n">
        <v>45</v>
      </c>
      <c r="M54" s="11" t="n">
        <v>2</v>
      </c>
    </row>
    <row r="55" customFormat="false" ht="16.4" hidden="false" customHeight="false" outlineLevel="0" collapsed="false">
      <c r="B55" s="0" t="s">
        <v>41</v>
      </c>
    </row>
    <row r="56" customFormat="false" ht="14.25" hidden="false" customHeight="false" outlineLevel="0" collapsed="false">
      <c r="B56" s="0" t="s">
        <v>42</v>
      </c>
    </row>
    <row r="57" customFormat="false" ht="14.25" hidden="false" customHeight="false" outlineLevel="0" collapsed="false">
      <c r="B57" s="0" t="s">
        <v>43</v>
      </c>
      <c r="F57" s="0" t="s">
        <v>44</v>
      </c>
      <c r="J57" s="0" t="s">
        <v>45</v>
      </c>
    </row>
    <row r="58" customFormat="false" ht="14.25" hidden="false" customHeight="false" outlineLevel="0" collapsed="false">
      <c r="B58" s="9" t="n">
        <f aca="false">$G52*K$52+$H52*K$53+$I52*K$54</f>
        <v>14</v>
      </c>
      <c r="C58" s="10" t="s">
        <v>46</v>
      </c>
      <c r="F58" s="9" t="n">
        <f aca="false">$G52*L$52+$H52*L$53+$I52*L$54</f>
        <v>273</v>
      </c>
      <c r="G58" s="10" t="s">
        <v>47</v>
      </c>
      <c r="J58" s="9" t="n">
        <f aca="false">$G52*M$52+$H52*M$53+$I52*M$54</f>
        <v>14</v>
      </c>
      <c r="K58" s="10" t="s">
        <v>46</v>
      </c>
    </row>
    <row r="59" customFormat="false" ht="14.25" hidden="false" customHeight="false" outlineLevel="0" collapsed="false">
      <c r="B59" s="9" t="n">
        <f aca="false">$G53*K$52+$H53*K$53+$I53*K$54</f>
        <v>273</v>
      </c>
      <c r="C59" s="10" t="s">
        <v>48</v>
      </c>
      <c r="F59" s="9" t="n">
        <f aca="false">$G53*L$52+$H53*L$53+$I53*L$54</f>
        <v>5526</v>
      </c>
      <c r="G59" s="10" t="s">
        <v>49</v>
      </c>
      <c r="J59" s="9" t="n">
        <f aca="false">$G53*M$52+$H53*M$53+$I53*M$54</f>
        <v>273</v>
      </c>
      <c r="K59" s="10" t="s">
        <v>48</v>
      </c>
    </row>
    <row r="60" customFormat="false" ht="14.25" hidden="false" customHeight="false" outlineLevel="0" collapsed="false">
      <c r="B60" s="9" t="n">
        <f aca="false">$G54*K$52+$H54*K$53+$I54*K$54</f>
        <v>14</v>
      </c>
      <c r="C60" s="10" t="s">
        <v>46</v>
      </c>
      <c r="F60" s="9" t="n">
        <f aca="false">$G54*L$52+$H54*L$53+$I54*L$54</f>
        <v>273</v>
      </c>
      <c r="G60" s="10" t="s">
        <v>47</v>
      </c>
      <c r="J60" s="9" t="n">
        <f aca="false">$G54*M$52+$H54*M$53+$I54*M$54</f>
        <v>14</v>
      </c>
      <c r="K60" s="10" t="s">
        <v>50</v>
      </c>
    </row>
    <row r="61" customFormat="false" ht="16.4" hidden="false" customHeight="false" outlineLevel="0" collapsed="false">
      <c r="C61" s="12" t="s">
        <v>51</v>
      </c>
    </row>
    <row r="62" customFormat="false" ht="16.4" hidden="false" customHeight="false" outlineLevel="0" collapsed="false">
      <c r="B62" s="0" t="s">
        <v>52</v>
      </c>
      <c r="C62" s="10"/>
      <c r="G62" s="10"/>
    </row>
    <row r="63" customFormat="false" ht="14.25" hidden="false" customHeight="false" outlineLevel="0" collapsed="false">
      <c r="H63" s="6" t="s">
        <v>40</v>
      </c>
      <c r="K63" s="8" t="s">
        <v>14</v>
      </c>
    </row>
    <row r="64" customFormat="false" ht="14.25" hidden="false" customHeight="false" outlineLevel="0" collapsed="false">
      <c r="B64" s="9" t="n">
        <f aca="false">G64*K$64+H64*K$65+I64*K$66</f>
        <v>494200</v>
      </c>
      <c r="C64" s="10" t="s">
        <v>53</v>
      </c>
      <c r="G64" s="9" t="n">
        <v>14</v>
      </c>
      <c r="H64" s="9" t="n">
        <v>273</v>
      </c>
      <c r="I64" s="9" t="n">
        <v>14</v>
      </c>
      <c r="K64" s="11" t="n">
        <v>2200</v>
      </c>
    </row>
    <row r="65" customFormat="false" ht="14.25" hidden="false" customHeight="false" outlineLevel="0" collapsed="false">
      <c r="B65" s="9" t="n">
        <f aca="false">G65*K$64+H65*K$65+I65*K$66</f>
        <v>9960900</v>
      </c>
      <c r="C65" s="10" t="s">
        <v>54</v>
      </c>
      <c r="G65" s="9" t="n">
        <v>273</v>
      </c>
      <c r="H65" s="9" t="n">
        <v>5526</v>
      </c>
      <c r="I65" s="9" t="n">
        <v>273</v>
      </c>
      <c r="K65" s="11" t="n">
        <v>1600</v>
      </c>
    </row>
    <row r="66" customFormat="false" ht="14.25" hidden="false" customHeight="false" outlineLevel="0" collapsed="false">
      <c r="B66" s="9" t="n">
        <f aca="false">G66*K$64+H66*K$65+I66*K$66</f>
        <v>494200</v>
      </c>
      <c r="C66" s="10" t="s">
        <v>53</v>
      </c>
      <c r="G66" s="9" t="n">
        <v>14</v>
      </c>
      <c r="H66" s="9" t="n">
        <v>273</v>
      </c>
      <c r="I66" s="9" t="n">
        <v>14</v>
      </c>
      <c r="K66" s="11" t="n">
        <v>1900</v>
      </c>
    </row>
    <row r="67" customFormat="false" ht="16.4" hidden="false" customHeight="false" outlineLevel="0" collapsed="false">
      <c r="C67" s="12" t="s">
        <v>55</v>
      </c>
    </row>
    <row r="69" customFormat="false" ht="14.25" hidden="false" customHeight="false" outlineLevel="0" collapsed="false">
      <c r="B69" s="6" t="s">
        <v>56</v>
      </c>
      <c r="C69" s="10"/>
    </row>
    <row r="70" customFormat="false" ht="14.25" hidden="false" customHeight="false" outlineLevel="0" collapsed="false">
      <c r="D70" s="10" t="s">
        <v>57</v>
      </c>
    </row>
    <row r="71" customFormat="false" ht="14.25" hidden="false" customHeight="false" outlineLevel="0" collapsed="false">
      <c r="B71" s="9" t="n">
        <v>494200</v>
      </c>
      <c r="D71" s="10" t="s">
        <v>58</v>
      </c>
    </row>
    <row r="72" customFormat="false" ht="16.4" hidden="false" customHeight="false" outlineLevel="0" collapsed="false">
      <c r="B72" s="9" t="n">
        <v>9960900</v>
      </c>
      <c r="D72" s="6" t="s">
        <v>59</v>
      </c>
    </row>
    <row r="73" customFormat="false" ht="14.25" hidden="false" customHeight="false" outlineLevel="0" collapsed="false">
      <c r="B73" s="9" t="n">
        <v>494200</v>
      </c>
      <c r="D73" s="10" t="s">
        <v>60</v>
      </c>
    </row>
    <row r="76" customFormat="false" ht="22.05" hidden="false" customHeight="false" outlineLevel="0" collapsed="false">
      <c r="B76" s="14" t="s">
        <v>61</v>
      </c>
    </row>
    <row r="77" customFormat="false" ht="14.25" hidden="false" customHeight="false" outlineLevel="0" collapsed="false">
      <c r="B77" s="0" t="s">
        <v>62</v>
      </c>
    </row>
    <row r="78" customFormat="false" ht="14.25" hidden="false" customHeight="false" outlineLevel="0" collapsed="false">
      <c r="B78" s="0" t="s">
        <v>63</v>
      </c>
    </row>
    <row r="79" customFormat="false" ht="14.25" hidden="false" customHeight="false" outlineLevel="0" collapsed="false">
      <c r="B79" s="0" t="s">
        <v>64</v>
      </c>
    </row>
    <row r="80" customFormat="false" ht="14.25" hidden="false" customHeight="false" outlineLevel="0" collapsed="false">
      <c r="B80" s="6" t="s">
        <v>15</v>
      </c>
    </row>
    <row r="81" customFormat="false" ht="14.25" hidden="false" customHeight="false" outlineLevel="0" collapsed="false">
      <c r="B81" s="0" t="s">
        <v>65</v>
      </c>
    </row>
    <row r="82" customFormat="false" ht="14.25" hidden="false" customHeight="false" outlineLevel="0" collapsed="false">
      <c r="B82" s="0" t="s">
        <v>66</v>
      </c>
    </row>
    <row r="83" customFormat="false" ht="14.25" hidden="false" customHeight="false" outlineLevel="0" collapsed="false">
      <c r="B83" s="0" t="s">
        <v>67</v>
      </c>
    </row>
    <row r="84" customFormat="false" ht="14.25" hidden="false" customHeight="false" outlineLevel="0" collapsed="false">
      <c r="B84" s="0" t="s">
        <v>68</v>
      </c>
    </row>
    <row r="85" customFormat="false" ht="14.25" hidden="false" customHeight="false" outlineLevel="0" collapsed="false">
      <c r="B85" s="0" t="s">
        <v>69</v>
      </c>
    </row>
    <row r="86" customFormat="false" ht="14.25" hidden="false" customHeight="false" outlineLevel="0" collapsed="false">
      <c r="B86" s="0" t="s">
        <v>70</v>
      </c>
    </row>
    <row r="87" customFormat="false" ht="14.25" hidden="false" customHeight="false" outlineLevel="0" collapsed="false">
      <c r="B87" s="0" t="s">
        <v>71</v>
      </c>
    </row>
    <row r="89" customFormat="false" ht="14.25" hidden="false" customHeight="false" outlineLevel="0" collapsed="false">
      <c r="B89" s="6" t="s">
        <v>25</v>
      </c>
    </row>
    <row r="90" customFormat="false" ht="14.25" hidden="false" customHeight="false" outlineLevel="0" collapsed="false">
      <c r="B90" s="13" t="s">
        <v>72</v>
      </c>
    </row>
    <row r="91" customFormat="false" ht="14.25" hidden="false" customHeight="false" outlineLevel="0" collapsed="false">
      <c r="C91" s="0" t="s">
        <v>1</v>
      </c>
      <c r="D91" s="0" t="s">
        <v>2</v>
      </c>
      <c r="E91" s="0" t="s">
        <v>3</v>
      </c>
      <c r="F91" s="0" t="s">
        <v>4</v>
      </c>
      <c r="G91" s="0" t="s">
        <v>5</v>
      </c>
      <c r="H91" s="0" t="s">
        <v>6</v>
      </c>
      <c r="J91" s="0" t="s">
        <v>7</v>
      </c>
    </row>
    <row r="92" customFormat="false" ht="14.25" hidden="false" customHeight="false" outlineLevel="0" collapsed="false">
      <c r="D92" s="15"/>
      <c r="E92" s="15"/>
      <c r="F92" s="15" t="s">
        <v>73</v>
      </c>
      <c r="G92" s="15"/>
      <c r="H92" s="15"/>
      <c r="J92" s="16" t="s">
        <v>74</v>
      </c>
    </row>
    <row r="93" customFormat="false" ht="14.25" hidden="false" customHeight="false" outlineLevel="0" collapsed="false">
      <c r="C93" s="11" t="n">
        <v>3</v>
      </c>
      <c r="D93" s="11" t="n">
        <v>51</v>
      </c>
      <c r="E93" s="11" t="n">
        <v>3</v>
      </c>
      <c r="F93" s="11" t="n">
        <v>0</v>
      </c>
      <c r="G93" s="11" t="n">
        <v>1</v>
      </c>
      <c r="H93" s="11" t="n">
        <v>0</v>
      </c>
      <c r="J93" s="11" t="n">
        <v>2200</v>
      </c>
    </row>
    <row r="94" customFormat="false" ht="14.25" hidden="false" customHeight="false" outlineLevel="0" collapsed="false">
      <c r="C94" s="11" t="n">
        <v>1</v>
      </c>
      <c r="D94" s="11" t="n">
        <v>30</v>
      </c>
      <c r="E94" s="11" t="n">
        <v>1</v>
      </c>
      <c r="F94" s="11" t="n">
        <v>0</v>
      </c>
      <c r="G94" s="11" t="n">
        <v>1</v>
      </c>
      <c r="H94" s="11" t="n">
        <v>0</v>
      </c>
      <c r="J94" s="11" t="n">
        <v>1600</v>
      </c>
    </row>
    <row r="95" customFormat="false" ht="14.25" hidden="false" customHeight="false" outlineLevel="0" collapsed="false">
      <c r="C95" s="11" t="n">
        <v>2</v>
      </c>
      <c r="D95" s="11" t="n">
        <v>45</v>
      </c>
      <c r="E95" s="11" t="n">
        <v>2</v>
      </c>
      <c r="F95" s="11" t="n">
        <v>0</v>
      </c>
      <c r="G95" s="11" t="n">
        <v>1</v>
      </c>
      <c r="H95" s="11" t="n">
        <v>0</v>
      </c>
      <c r="J95" s="11" t="n">
        <v>1900</v>
      </c>
    </row>
    <row r="96" customFormat="false" ht="14.25" hidden="false" customHeight="false" outlineLevel="0" collapsed="false">
      <c r="C96" s="11" t="n">
        <v>3</v>
      </c>
      <c r="D96" s="11" t="n">
        <v>55</v>
      </c>
      <c r="E96" s="11" t="n">
        <v>1</v>
      </c>
      <c r="F96" s="11" t="n">
        <v>0</v>
      </c>
      <c r="G96" s="11" t="n">
        <v>1</v>
      </c>
      <c r="H96" s="11" t="n">
        <v>0</v>
      </c>
      <c r="J96" s="11" t="n">
        <v>2000</v>
      </c>
    </row>
    <row r="97" customFormat="false" ht="14.25" hidden="false" customHeight="false" outlineLevel="0" collapsed="false">
      <c r="C97" s="11" t="n">
        <v>1</v>
      </c>
      <c r="D97" s="11" t="n">
        <v>45</v>
      </c>
      <c r="E97" s="11" t="n">
        <v>3</v>
      </c>
      <c r="F97" s="11" t="n">
        <v>1</v>
      </c>
      <c r="G97" s="11" t="n">
        <v>0</v>
      </c>
      <c r="H97" s="11" t="n">
        <v>0</v>
      </c>
      <c r="J97" s="11" t="n">
        <v>4500</v>
      </c>
    </row>
    <row r="99" customFormat="false" ht="14.25" hidden="false" customHeight="false" outlineLevel="0" collapsed="false">
      <c r="B99" s="13" t="s">
        <v>75</v>
      </c>
    </row>
    <row r="100" customFormat="false" ht="14.25" hidden="false" customHeight="false" outlineLevel="0" collapsed="false">
      <c r="B100" s="0" t="s">
        <v>76</v>
      </c>
    </row>
    <row r="101" customFormat="false" ht="14.25" hidden="false" customHeight="false" outlineLevel="0" collapsed="false">
      <c r="B101" s="0" t="s">
        <v>77</v>
      </c>
      <c r="C101" s="0" t="n">
        <f aca="false">SUM(C93:C97)</f>
        <v>10</v>
      </c>
      <c r="D101" s="0" t="n">
        <f aca="false">SUM(D93:D97)</f>
        <v>226</v>
      </c>
      <c r="E101" s="0" t="n">
        <f aca="false">SUM(E93:E97)</f>
        <v>10</v>
      </c>
      <c r="F101" s="0" t="n">
        <f aca="false">SUM(F93:F97)</f>
        <v>1</v>
      </c>
      <c r="G101" s="0" t="n">
        <f aca="false">SUM(G93:G97)</f>
        <v>4</v>
      </c>
      <c r="H101" s="0" t="n">
        <f aca="false">SUM(H93:H97)</f>
        <v>0</v>
      </c>
      <c r="J101" s="0" t="n">
        <f aca="false">SUM(J93:J97)</f>
        <v>12200</v>
      </c>
      <c r="AC101" s="0" t="n">
        <v>95</v>
      </c>
      <c r="AD101" s="0" t="n">
        <v>5</v>
      </c>
      <c r="AE101" s="0" t="n">
        <f aca="false">AC101/AD101</f>
        <v>19</v>
      </c>
    </row>
    <row r="102" customFormat="false" ht="14.25" hidden="false" customHeight="false" outlineLevel="0" collapsed="false">
      <c r="B102" s="0" t="s">
        <v>78</v>
      </c>
      <c r="C102" s="0" t="n">
        <f aca="false">C101/5</f>
        <v>2</v>
      </c>
      <c r="D102" s="17" t="n">
        <f aca="false">D101/5</f>
        <v>45.2</v>
      </c>
      <c r="E102" s="10" t="n">
        <f aca="false">E101/5</f>
        <v>2</v>
      </c>
      <c r="F102" s="17" t="n">
        <f aca="false">F101/5</f>
        <v>0.2</v>
      </c>
      <c r="G102" s="17" t="n">
        <f aca="false">G101/5</f>
        <v>0.8</v>
      </c>
      <c r="H102" s="10" t="n">
        <f aca="false">H101/5</f>
        <v>0</v>
      </c>
      <c r="J102" s="10" t="n">
        <f aca="false">J101/5</f>
        <v>2440</v>
      </c>
      <c r="T102" s="10" t="n">
        <f aca="false">1/5</f>
        <v>0.2</v>
      </c>
    </row>
    <row r="103" customFormat="false" ht="14.25" hidden="false" customHeight="false" outlineLevel="0" collapsed="false">
      <c r="B103" s="0" t="s">
        <v>79</v>
      </c>
      <c r="T103" s="0" t="n">
        <f aca="false">T102^2</f>
        <v>0.04</v>
      </c>
      <c r="U103" s="0" t="n">
        <f aca="false">T103*5</f>
        <v>0.2</v>
      </c>
      <c r="V103" s="0" t="n">
        <f aca="false">SQRT(U103)</f>
        <v>0.447213595499958</v>
      </c>
    </row>
    <row r="104" customFormat="false" ht="14.25" hidden="false" customHeight="false" outlineLevel="0" collapsed="false">
      <c r="C104" s="11" t="n">
        <f aca="false">C93-C$102</f>
        <v>1</v>
      </c>
      <c r="D104" s="17" t="n">
        <f aca="false">D93-D$102</f>
        <v>5.8</v>
      </c>
      <c r="E104" s="11" t="n">
        <f aca="false">E93-E$102</f>
        <v>1</v>
      </c>
      <c r="F104" s="17" t="n">
        <f aca="false">F93-F$102</f>
        <v>-0.2</v>
      </c>
      <c r="G104" s="17" t="n">
        <f aca="false">G93-G$102</f>
        <v>0.2</v>
      </c>
      <c r="H104" s="11" t="n">
        <f aca="false">H93-H$102</f>
        <v>0</v>
      </c>
      <c r="J104" s="11" t="n">
        <f aca="false">J93-J$102</f>
        <v>-240</v>
      </c>
      <c r="K104" s="18" t="n">
        <f aca="false">J104^2</f>
        <v>57600</v>
      </c>
      <c r="L104" s="10" t="n">
        <f aca="false">SQRT(ABS(J104))</f>
        <v>15.4919333848297</v>
      </c>
      <c r="N104" s="10" t="s">
        <v>80</v>
      </c>
      <c r="AA104" s="0" t="n">
        <v>2255</v>
      </c>
    </row>
    <row r="105" customFormat="false" ht="14.25" hidden="false" customHeight="false" outlineLevel="0" collapsed="false">
      <c r="C105" s="11" t="n">
        <f aca="false">C94-C$102</f>
        <v>-1</v>
      </c>
      <c r="D105" s="17" t="n">
        <f aca="false">D94-D$102</f>
        <v>-15.2</v>
      </c>
      <c r="E105" s="11" t="n">
        <f aca="false">E94-E$102</f>
        <v>-1</v>
      </c>
      <c r="F105" s="17" t="n">
        <f aca="false">F94-F$102</f>
        <v>-0.2</v>
      </c>
      <c r="G105" s="17" t="n">
        <f aca="false">G94-G$102</f>
        <v>0.2</v>
      </c>
      <c r="H105" s="11" t="n">
        <f aca="false">H94-H$102</f>
        <v>0</v>
      </c>
      <c r="J105" s="11" t="n">
        <f aca="false">J94-J$102</f>
        <v>-840</v>
      </c>
      <c r="K105" s="18" t="n">
        <f aca="false">J105^2</f>
        <v>705600</v>
      </c>
      <c r="L105" s="10" t="n">
        <f aca="false">SQRT(ABS(J105))</f>
        <v>28.9827534923789</v>
      </c>
      <c r="T105" s="10" t="n">
        <f aca="false">4/5</f>
        <v>0.8</v>
      </c>
      <c r="U105" s="10" t="n">
        <f aca="false">SQRT(T105)</f>
        <v>0.894427190999916</v>
      </c>
      <c r="X105" s="10" t="n">
        <f aca="false">X106*X107*X108</f>
        <v>1805</v>
      </c>
    </row>
    <row r="106" customFormat="false" ht="14.25" hidden="false" customHeight="false" outlineLevel="0" collapsed="false">
      <c r="C106" s="11" t="n">
        <f aca="false">C95-C$102</f>
        <v>0</v>
      </c>
      <c r="D106" s="17" t="n">
        <f aca="false">D95-D$102</f>
        <v>-0.200000000000003</v>
      </c>
      <c r="E106" s="11" t="n">
        <f aca="false">E95-E$102</f>
        <v>0</v>
      </c>
      <c r="F106" s="17" t="n">
        <f aca="false">F95-F$102</f>
        <v>-0.2</v>
      </c>
      <c r="G106" s="17" t="n">
        <f aca="false">G95-G$102</f>
        <v>0.2</v>
      </c>
      <c r="H106" s="11" t="n">
        <f aca="false">H95-H$102</f>
        <v>0</v>
      </c>
      <c r="J106" s="11" t="n">
        <f aca="false">J95-J$102</f>
        <v>-540</v>
      </c>
      <c r="K106" s="18" t="n">
        <f aca="false">J106^2</f>
        <v>291600</v>
      </c>
      <c r="L106" s="10" t="n">
        <f aca="false">SQRT(ABS(J106))</f>
        <v>23.2379000772445</v>
      </c>
      <c r="N106" s="0" t="n">
        <v>29</v>
      </c>
      <c r="O106" s="10" t="n">
        <f aca="false">N106^2</f>
        <v>841</v>
      </c>
      <c r="U106" s="10" t="n">
        <f aca="false">U105*2</f>
        <v>1.78885438199983</v>
      </c>
      <c r="X106" s="0" t="n">
        <v>5</v>
      </c>
    </row>
    <row r="107" customFormat="false" ht="14.25" hidden="false" customHeight="false" outlineLevel="0" collapsed="false">
      <c r="C107" s="11" t="n">
        <f aca="false">C96-C$102</f>
        <v>1</v>
      </c>
      <c r="D107" s="17" t="n">
        <f aca="false">D96-D$102</f>
        <v>9.8</v>
      </c>
      <c r="E107" s="11" t="n">
        <f aca="false">E96-E$102</f>
        <v>-1</v>
      </c>
      <c r="F107" s="17" t="n">
        <f aca="false">F96-F$102</f>
        <v>-0.2</v>
      </c>
      <c r="G107" s="17" t="n">
        <f aca="false">G96-G$102</f>
        <v>0.2</v>
      </c>
      <c r="H107" s="11" t="n">
        <f aca="false">H96-H$102</f>
        <v>0</v>
      </c>
      <c r="J107" s="11" t="n">
        <f aca="false">J96-J$102</f>
        <v>-440</v>
      </c>
      <c r="K107" s="18" t="n">
        <f aca="false">J107^2</f>
        <v>193600</v>
      </c>
      <c r="L107" s="10" t="n">
        <f aca="false">SQRT(ABS(J107))</f>
        <v>20.976176963403</v>
      </c>
      <c r="N107" s="0" t="n">
        <v>76</v>
      </c>
      <c r="O107" s="10" t="n">
        <f aca="false">N107^2</f>
        <v>5776</v>
      </c>
      <c r="S107" s="10" t="n">
        <f aca="false">5*451</f>
        <v>2255</v>
      </c>
      <c r="X107" s="0" t="n">
        <v>19</v>
      </c>
    </row>
    <row r="108" customFormat="false" ht="14.25" hidden="false" customHeight="false" outlineLevel="0" collapsed="false">
      <c r="C108" s="11" t="n">
        <f aca="false">C97-C$102</f>
        <v>-1</v>
      </c>
      <c r="D108" s="17" t="n">
        <f aca="false">D97-D$102</f>
        <v>-0.200000000000003</v>
      </c>
      <c r="E108" s="11" t="n">
        <f aca="false">E97-E$102</f>
        <v>1</v>
      </c>
      <c r="F108" s="17" t="n">
        <f aca="false">F97-F$102</f>
        <v>0.8</v>
      </c>
      <c r="G108" s="17" t="n">
        <f aca="false">G97-G$102</f>
        <v>-0.8</v>
      </c>
      <c r="H108" s="11" t="n">
        <f aca="false">H97-H$102</f>
        <v>0</v>
      </c>
      <c r="J108" s="11" t="n">
        <f aca="false">J97-J$102</f>
        <v>2060</v>
      </c>
      <c r="K108" s="18" t="n">
        <f aca="false">J108^2</f>
        <v>4243600</v>
      </c>
      <c r="L108" s="10" t="n">
        <f aca="false">SQRT(ABS(J108))</f>
        <v>45.3872228716409</v>
      </c>
      <c r="N108" s="0" t="n">
        <v>1</v>
      </c>
      <c r="O108" s="10" t="n">
        <f aca="false">N108^2</f>
        <v>1</v>
      </c>
      <c r="X108" s="0" t="n">
        <v>19</v>
      </c>
    </row>
    <row r="109" customFormat="false" ht="14.25" hidden="false" customHeight="false" outlineLevel="0" collapsed="false">
      <c r="B109" s="0" t="s">
        <v>81</v>
      </c>
      <c r="K109" s="18" t="n">
        <f aca="false">SUM(K104:K108)</f>
        <v>5492000</v>
      </c>
      <c r="L109" s="10" t="n">
        <f aca="false">SQRT(ABS(K109))</f>
        <v>2343.50165350912</v>
      </c>
      <c r="N109" s="0" t="n">
        <v>49</v>
      </c>
      <c r="O109" s="10" t="n">
        <f aca="false">N109^2</f>
        <v>2401</v>
      </c>
      <c r="W109" s="0" t="n">
        <v>95</v>
      </c>
      <c r="X109" s="10" t="n">
        <f aca="false">W109*W109</f>
        <v>9025</v>
      </c>
      <c r="Z109" s="10" t="n">
        <f aca="false">W109*W109</f>
        <v>9025</v>
      </c>
      <c r="AA109" s="10" t="n">
        <f aca="false">Z109/5</f>
        <v>1805</v>
      </c>
      <c r="AB109" s="0" t="n">
        <v>1804</v>
      </c>
      <c r="AC109" s="10" t="n">
        <f aca="false">AB109/AA109</f>
        <v>0.999445983379501</v>
      </c>
      <c r="AD109" s="10" t="n">
        <f aca="false">SQRT(AC109)</f>
        <v>0.999722953312317</v>
      </c>
    </row>
    <row r="110" customFormat="false" ht="14.25" hidden="false" customHeight="false" outlineLevel="0" collapsed="false">
      <c r="B110" s="0" t="s">
        <v>82</v>
      </c>
      <c r="N110" s="0" t="n">
        <v>1</v>
      </c>
      <c r="O110" s="0" t="n">
        <f aca="false">N110^2</f>
        <v>1</v>
      </c>
      <c r="W110" s="0" t="n">
        <v>9020</v>
      </c>
      <c r="X110" s="0" t="n">
        <v>25</v>
      </c>
      <c r="Y110" s="0" t="n">
        <f aca="false">W110/X110</f>
        <v>360.8</v>
      </c>
      <c r="Z110" s="0" t="n">
        <f aca="false">SQRT(Y110)</f>
        <v>18.994736112934</v>
      </c>
      <c r="AD110" s="0" t="n">
        <v>19</v>
      </c>
    </row>
    <row r="111" customFormat="false" ht="14.25" hidden="false" customHeight="false" outlineLevel="0" collapsed="false">
      <c r="C111" s="0" t="n">
        <f aca="false">(C104^2+C105^2+C106^2+C107^2+C108^2)^(1/2)</f>
        <v>2</v>
      </c>
      <c r="D111" s="0" t="n">
        <f aca="false">(D104^2+D105^2+D106^2+D107^2+D108^2)^(1/2)</f>
        <v>18.994736112934</v>
      </c>
      <c r="E111" s="0" t="n">
        <f aca="false">(E104^2+E105^2+E106^2+E107^2+E108^2)^(1/2)</f>
        <v>2</v>
      </c>
      <c r="F111" s="0" t="n">
        <f aca="false">(F104^2+F105^2+F106^2+F107^2+F108^2)^(1/2)</f>
        <v>0.894427190999916</v>
      </c>
      <c r="G111" s="0" t="n">
        <f aca="false">(G104^2+G105^2+G106^2+G107^2+G108^2)^(1/2)</f>
        <v>0.894427190999916</v>
      </c>
      <c r="H111" s="0" t="n">
        <f aca="false">(H104^2+H105^2+H106^2+H107^2+H108^2)^(1/2)</f>
        <v>0</v>
      </c>
      <c r="I111" s="0" t="n">
        <f aca="false">(I104^2+I105^2+I106^2+I107^2+I108^2)^(1/2)</f>
        <v>0</v>
      </c>
      <c r="J111" s="0" t="n">
        <f aca="false">(J104^2+J105^2+J106^2+J107^2+J108^2)^(1/2)</f>
        <v>2343.50165350912</v>
      </c>
      <c r="O111" s="0" t="n">
        <f aca="false">SUM(O106:O110)</f>
        <v>9020</v>
      </c>
      <c r="Q111" s="0" t="n">
        <v>2255</v>
      </c>
      <c r="R111" s="0" t="n">
        <v>4</v>
      </c>
      <c r="S111" s="0" t="n">
        <f aca="false">R111*Q111</f>
        <v>9020</v>
      </c>
      <c r="Y111" s="0" t="n">
        <v>441</v>
      </c>
      <c r="Z111" s="0" t="n">
        <f aca="false">SQRT(Y111)</f>
        <v>21</v>
      </c>
      <c r="AD111" s="0" t="n">
        <f aca="false">AD110*AD109</f>
        <v>18.994736112934</v>
      </c>
    </row>
    <row r="112" customFormat="false" ht="14.25" hidden="false" customHeight="false" outlineLevel="0" collapsed="false">
      <c r="B112" s="0" t="s">
        <v>83</v>
      </c>
      <c r="Y112" s="17" t="n">
        <f aca="false">Y111-Y110</f>
        <v>80.2</v>
      </c>
      <c r="Z112" s="10" t="n">
        <f aca="false">SQRT(Y112)</f>
        <v>8.95544527089524</v>
      </c>
    </row>
    <row r="113" customFormat="false" ht="14.25" hidden="false" customHeight="false" outlineLevel="0" collapsed="false">
      <c r="C113" s="19" t="n">
        <f aca="false">C104/C$111</f>
        <v>0.5</v>
      </c>
      <c r="D113" s="19" t="n">
        <f aca="false">D104/D$111</f>
        <v>0.305347753478429</v>
      </c>
      <c r="E113" s="19" t="n">
        <f aca="false">E104/E$111</f>
        <v>0.5</v>
      </c>
      <c r="F113" s="19" t="n">
        <f aca="false">F104/F$111</f>
        <v>-0.223606797749979</v>
      </c>
      <c r="G113" s="19" t="n">
        <f aca="false">G104/G$111</f>
        <v>0.223606797749979</v>
      </c>
      <c r="H113" s="19"/>
      <c r="I113" s="19"/>
      <c r="J113" s="19" t="n">
        <f aca="false">J104/J$111</f>
        <v>-0.102410851573596</v>
      </c>
    </row>
    <row r="114" customFormat="false" ht="14.25" hidden="false" customHeight="false" outlineLevel="0" collapsed="false">
      <c r="C114" s="19" t="n">
        <f aca="false">C105/C$111</f>
        <v>-0.5</v>
      </c>
      <c r="D114" s="19" t="n">
        <f aca="false">D105/D$111</f>
        <v>-0.800221698771057</v>
      </c>
      <c r="E114" s="19" t="n">
        <f aca="false">E105/E$111</f>
        <v>-0.5</v>
      </c>
      <c r="F114" s="19" t="n">
        <f aca="false">F105/F$111</f>
        <v>-0.223606797749979</v>
      </c>
      <c r="G114" s="19" t="n">
        <f aca="false">G105/G$111</f>
        <v>0.223606797749979</v>
      </c>
      <c r="H114" s="19"/>
      <c r="I114" s="19"/>
      <c r="J114" s="19" t="n">
        <f aca="false">J105/J$111</f>
        <v>-0.358437980507586</v>
      </c>
      <c r="O114" s="10" t="s">
        <v>84</v>
      </c>
      <c r="Z114" s="0" t="n">
        <v>4</v>
      </c>
      <c r="AA114" s="10" t="n">
        <f aca="false">1/5</f>
        <v>0.2</v>
      </c>
      <c r="AB114" s="10" t="n">
        <f aca="false">SQRT(AA114)</f>
        <v>0.447213595499958</v>
      </c>
      <c r="AC114" s="10" t="n">
        <f aca="false">Z114*AB114</f>
        <v>1.78885438199983</v>
      </c>
    </row>
    <row r="115" customFormat="false" ht="14.25" hidden="false" customHeight="false" outlineLevel="0" collapsed="false">
      <c r="C115" s="19" t="n">
        <f aca="false">C106/C$111</f>
        <v>0</v>
      </c>
      <c r="D115" s="19" t="n">
        <f aca="false">D106/D$111</f>
        <v>-0.0105292328785667</v>
      </c>
      <c r="E115" s="19" t="n">
        <f aca="false">E106/E$111</f>
        <v>0</v>
      </c>
      <c r="F115" s="19" t="n">
        <f aca="false">F106/F$111</f>
        <v>-0.223606797749979</v>
      </c>
      <c r="G115" s="19" t="n">
        <f aca="false">G106/G$111</f>
        <v>0.223606797749979</v>
      </c>
      <c r="H115" s="19"/>
      <c r="I115" s="19"/>
      <c r="J115" s="19" t="n">
        <f aca="false">J106/J$111</f>
        <v>-0.230424416040591</v>
      </c>
      <c r="P115" s="10" t="n">
        <f aca="false">P116</f>
        <v>2255</v>
      </c>
      <c r="S115" s="10" t="n">
        <f aca="false">38^2</f>
        <v>1444</v>
      </c>
      <c r="T115" s="10" t="n">
        <f aca="false">S115-P115</f>
        <v>-811</v>
      </c>
      <c r="U115" s="10" t="n">
        <f aca="false">SQRT(-T115)</f>
        <v>28.4780617317963</v>
      </c>
      <c r="X115" s="0" t="n">
        <v>4</v>
      </c>
      <c r="Y115" s="0" t="n">
        <v>5</v>
      </c>
      <c r="Z115" s="10" t="n">
        <f aca="false">X115/Y115</f>
        <v>0.8</v>
      </c>
      <c r="AA115" s="10" t="n">
        <f aca="false">SQRT(Z115)</f>
        <v>0.894427190999916</v>
      </c>
    </row>
    <row r="116" customFormat="false" ht="14.25" hidden="false" customHeight="false" outlineLevel="0" collapsed="false">
      <c r="C116" s="19" t="n">
        <f aca="false">C107/C$111</f>
        <v>0.5</v>
      </c>
      <c r="D116" s="19" t="n">
        <f aca="false">D107/D$111</f>
        <v>0.51593241104976</v>
      </c>
      <c r="E116" s="19" t="n">
        <f aca="false">E107/E$111</f>
        <v>-0.5</v>
      </c>
      <c r="F116" s="19" t="n">
        <f aca="false">F107/F$111</f>
        <v>-0.223606797749979</v>
      </c>
      <c r="G116" s="19" t="n">
        <f aca="false">G107/G$111</f>
        <v>0.223606797749979</v>
      </c>
      <c r="H116" s="19"/>
      <c r="I116" s="19"/>
      <c r="J116" s="19" t="n">
        <f aca="false">J107/J$111</f>
        <v>-0.187753227884926</v>
      </c>
      <c r="O116" s="10" t="n">
        <f aca="false">2/5</f>
        <v>0.4</v>
      </c>
      <c r="P116" s="0" t="n">
        <v>2255</v>
      </c>
      <c r="Q116" s="10" t="n">
        <f aca="false">SQRT(P116)</f>
        <v>47.4868402823351</v>
      </c>
      <c r="S116" s="10" t="n">
        <f aca="false">48^2</f>
        <v>2304</v>
      </c>
      <c r="T116" s="10" t="n">
        <f aca="false">S116-P116</f>
        <v>49</v>
      </c>
      <c r="U116" s="10" t="n">
        <f aca="false">SQRT(T116)</f>
        <v>7</v>
      </c>
      <c r="V116" s="10" t="n">
        <f aca="false">48^2-7^2</f>
        <v>2255</v>
      </c>
      <c r="Y116" s="10" t="n">
        <f aca="false">SQRT(Y115)</f>
        <v>2.23606797749979</v>
      </c>
      <c r="Z116" s="10" t="n">
        <f aca="false">Y116/5</f>
        <v>0.447213595499958</v>
      </c>
    </row>
    <row r="117" customFormat="false" ht="14.25" hidden="false" customHeight="false" outlineLevel="0" collapsed="false">
      <c r="C117" s="19" t="n">
        <f aca="false">C108/C$111</f>
        <v>-0.5</v>
      </c>
      <c r="D117" s="19" t="n">
        <f aca="false">D108/D$111</f>
        <v>-0.0105292328785667</v>
      </c>
      <c r="E117" s="19" t="n">
        <f aca="false">E108/E$111</f>
        <v>0.5</v>
      </c>
      <c r="F117" s="19" t="n">
        <f aca="false">F108/F$111</f>
        <v>0.894427190999916</v>
      </c>
      <c r="G117" s="19" t="n">
        <f aca="false">G108/G$111</f>
        <v>-0.894427190999916</v>
      </c>
      <c r="H117" s="19"/>
      <c r="I117" s="19"/>
      <c r="J117" s="19" t="n">
        <f aca="false">J108/J$111</f>
        <v>0.8790264760067</v>
      </c>
      <c r="Q117" s="10" t="n">
        <f aca="false">Q116*2/5</f>
        <v>18.994736112934</v>
      </c>
      <c r="T117" s="10" t="n">
        <f aca="false">S116-T116</f>
        <v>2255</v>
      </c>
      <c r="X117" s="10" t="n">
        <f aca="false">T117*4</f>
        <v>9020</v>
      </c>
      <c r="Y117" s="10" t="n">
        <f aca="false">SQRT(X117)</f>
        <v>94.9736805646701</v>
      </c>
      <c r="AA117" s="0" t="n">
        <v>96</v>
      </c>
      <c r="AB117" s="10" t="n">
        <f aca="false">AA117^2</f>
        <v>9216</v>
      </c>
      <c r="AC117" s="10" t="n">
        <f aca="false">AB117-X117</f>
        <v>196</v>
      </c>
      <c r="AD117" s="10" t="n">
        <f aca="false">SQRT(AC117)</f>
        <v>14</v>
      </c>
    </row>
    <row r="119" customFormat="false" ht="14.25" hidden="false" customHeight="false" outlineLevel="0" collapsed="false">
      <c r="AA119" s="0" t="s">
        <v>85</v>
      </c>
      <c r="AB119" s="0" t="n">
        <f aca="false">90-14</f>
        <v>76</v>
      </c>
      <c r="AC119" s="0" t="n">
        <f aca="false">SQRT(AB119)</f>
        <v>8.71779788708135</v>
      </c>
    </row>
    <row r="120" customFormat="false" ht="14.25" hidden="false" customHeight="false" outlineLevel="0" collapsed="false">
      <c r="M120" s="0" t="n">
        <f aca="false">51/5</f>
        <v>10.2</v>
      </c>
      <c r="O120" s="0" t="n">
        <v>45.2</v>
      </c>
      <c r="P120" s="0" t="n">
        <f aca="false">O120/5</f>
        <v>9.04</v>
      </c>
      <c r="R120" s="0" t="n">
        <f aca="false">9*25</f>
        <v>225</v>
      </c>
      <c r="S120" s="0" t="n">
        <v>25</v>
      </c>
      <c r="T120" s="0" t="n">
        <f aca="false">R120/S120</f>
        <v>9</v>
      </c>
      <c r="V120" s="0" t="n">
        <v>2</v>
      </c>
      <c r="W120" s="0" t="n">
        <f aca="false">4/5</f>
        <v>0.8</v>
      </c>
      <c r="X120" s="0" t="n">
        <f aca="false">SQRT(W120)</f>
        <v>0.894427190999916</v>
      </c>
      <c r="Y120" s="0" t="n">
        <f aca="false">X120*V120</f>
        <v>1.78885438199983</v>
      </c>
      <c r="AA120" s="0" t="s">
        <v>86</v>
      </c>
      <c r="AB120" s="0" t="n">
        <f aca="false">90+14</f>
        <v>104</v>
      </c>
      <c r="AC120" s="0" t="n">
        <f aca="false">SQRT(AB120)</f>
        <v>10.1980390271856</v>
      </c>
    </row>
    <row r="122" customFormat="false" ht="14.25" hidden="false" customHeight="false" outlineLevel="0" collapsed="false">
      <c r="I122" s="0" t="n">
        <v>2</v>
      </c>
    </row>
    <row r="123" customFormat="false" ht="14.25" hidden="false" customHeight="false" outlineLevel="0" collapsed="false">
      <c r="I123" s="0" t="n">
        <v>5</v>
      </c>
      <c r="S123" s="0" t="n">
        <f aca="false">R120/5</f>
        <v>45</v>
      </c>
    </row>
    <row r="124" customFormat="false" ht="14.25" hidden="false" customHeight="false" outlineLevel="0" collapsed="false">
      <c r="I124" s="0" t="n">
        <v>10</v>
      </c>
      <c r="J124" s="0" t="n">
        <v>2</v>
      </c>
      <c r="L124" s="0" t="n">
        <v>2</v>
      </c>
    </row>
    <row r="125" customFormat="false" ht="14.25" hidden="false" customHeight="false" outlineLevel="0" collapsed="false">
      <c r="G125" s="0" t="n">
        <v>-240</v>
      </c>
      <c r="H125" s="0" t="n">
        <f aca="false">ABS(G125)</f>
        <v>240</v>
      </c>
      <c r="I125" s="0" t="n">
        <f aca="false">$H125/I$124</f>
        <v>24</v>
      </c>
      <c r="J125" s="0" t="n">
        <f aca="false">$I125/J$124</f>
        <v>12</v>
      </c>
      <c r="K125" s="0" t="n">
        <f aca="false">J125^2</f>
        <v>144</v>
      </c>
      <c r="L125" s="0" t="n">
        <f aca="false">J125/L$124</f>
        <v>6</v>
      </c>
      <c r="N125" s="0" t="n">
        <f aca="false">2^4*3*5</f>
        <v>240</v>
      </c>
      <c r="O125" s="10" t="s">
        <v>87</v>
      </c>
      <c r="Q125" s="10" t="n">
        <f aca="false">H125/10/2</f>
        <v>12</v>
      </c>
      <c r="R125" s="10" t="n">
        <f aca="false">Q125^2</f>
        <v>144</v>
      </c>
    </row>
    <row r="126" customFormat="false" ht="14.25" hidden="false" customHeight="false" outlineLevel="0" collapsed="false">
      <c r="G126" s="0" t="n">
        <v>-840</v>
      </c>
      <c r="H126" s="0" t="n">
        <f aca="false">ABS(G126)</f>
        <v>840</v>
      </c>
      <c r="I126" s="0" t="n">
        <f aca="false">$H126/I$124</f>
        <v>84</v>
      </c>
      <c r="J126" s="0" t="n">
        <f aca="false">$I126/J$124</f>
        <v>42</v>
      </c>
      <c r="K126" s="0" t="n">
        <f aca="false">J126^2</f>
        <v>1764</v>
      </c>
      <c r="L126" s="0" t="n">
        <f aca="false">J126/L$124</f>
        <v>21</v>
      </c>
      <c r="N126" s="0" t="n">
        <f aca="false">7*5*3*2^3</f>
        <v>840</v>
      </c>
      <c r="O126" s="10" t="s">
        <v>88</v>
      </c>
      <c r="Q126" s="10" t="n">
        <f aca="false">H126/10/2</f>
        <v>42</v>
      </c>
      <c r="R126" s="10" t="n">
        <f aca="false">Q126^2</f>
        <v>1764</v>
      </c>
    </row>
    <row r="127" customFormat="false" ht="14.25" hidden="false" customHeight="false" outlineLevel="0" collapsed="false">
      <c r="G127" s="0" t="n">
        <v>-540</v>
      </c>
      <c r="H127" s="0" t="n">
        <f aca="false">ABS(G127)</f>
        <v>540</v>
      </c>
      <c r="I127" s="0" t="n">
        <f aca="false">$H127/I$124</f>
        <v>54</v>
      </c>
      <c r="J127" s="0" t="n">
        <f aca="false">$I127/J$124</f>
        <v>27</v>
      </c>
      <c r="K127" s="0" t="n">
        <f aca="false">J127^2</f>
        <v>729</v>
      </c>
      <c r="N127" s="0" t="n">
        <f aca="false">5*3^3*2^2</f>
        <v>540</v>
      </c>
      <c r="O127" s="10" t="s">
        <v>89</v>
      </c>
      <c r="Q127" s="10" t="n">
        <f aca="false">H127/10/2</f>
        <v>27</v>
      </c>
      <c r="R127" s="10" t="n">
        <f aca="false">Q127^2</f>
        <v>729</v>
      </c>
    </row>
    <row r="128" customFormat="false" ht="14.25" hidden="false" customHeight="false" outlineLevel="0" collapsed="false">
      <c r="G128" s="0" t="n">
        <v>-440</v>
      </c>
      <c r="H128" s="0" t="n">
        <f aca="false">ABS(G128)</f>
        <v>440</v>
      </c>
      <c r="I128" s="0" t="n">
        <f aca="false">$H128/I$124</f>
        <v>44</v>
      </c>
      <c r="J128" s="0" t="n">
        <f aca="false">$I128/J$124</f>
        <v>22</v>
      </c>
      <c r="K128" s="0" t="n">
        <f aca="false">J128^2</f>
        <v>484</v>
      </c>
      <c r="L128" s="0" t="n">
        <f aca="false">J128/L$124</f>
        <v>11</v>
      </c>
      <c r="N128" s="0" t="n">
        <f aca="false">11*5*2^3</f>
        <v>440</v>
      </c>
      <c r="O128" s="10" t="s">
        <v>90</v>
      </c>
      <c r="Q128" s="10" t="n">
        <f aca="false">H128/10/2</f>
        <v>22</v>
      </c>
      <c r="R128" s="10" t="n">
        <f aca="false">Q128^2</f>
        <v>484</v>
      </c>
    </row>
    <row r="129" customFormat="false" ht="14.25" hidden="false" customHeight="false" outlineLevel="0" collapsed="false">
      <c r="G129" s="0" t="n">
        <v>2060</v>
      </c>
      <c r="H129" s="0" t="n">
        <f aca="false">ABS(G129)</f>
        <v>2060</v>
      </c>
      <c r="I129" s="0" t="n">
        <f aca="false">$H129/I$124</f>
        <v>206</v>
      </c>
      <c r="J129" s="0" t="n">
        <f aca="false">$I129/J$124</f>
        <v>103</v>
      </c>
      <c r="K129" s="0" t="n">
        <f aca="false">J129^2</f>
        <v>10609</v>
      </c>
      <c r="N129" s="0" t="n">
        <f aca="false">103*5*2^2</f>
        <v>2060</v>
      </c>
      <c r="O129" s="10" t="s">
        <v>91</v>
      </c>
      <c r="Q129" s="10" t="n">
        <f aca="false">H129/10/2</f>
        <v>103</v>
      </c>
      <c r="R129" s="10" t="n">
        <f aca="false">Q129^2</f>
        <v>10609</v>
      </c>
    </row>
    <row r="130" customFormat="false" ht="14.25" hidden="false" customHeight="false" outlineLevel="0" collapsed="false">
      <c r="X130" s="0" t="n">
        <v>2</v>
      </c>
      <c r="Y130" s="0" t="n">
        <f aca="false">SQRT(X130)</f>
        <v>1.4142135623731</v>
      </c>
    </row>
    <row r="131" customFormat="false" ht="14.25" hidden="false" customHeight="false" outlineLevel="0" collapsed="false">
      <c r="K131" s="0" t="n">
        <f aca="false">SUM(K125:K130)</f>
        <v>13730</v>
      </c>
      <c r="Q131" s="0" t="n">
        <f aca="false">SUM(Q125:Q130)</f>
        <v>206</v>
      </c>
      <c r="R131" s="0" t="n">
        <f aca="false">SUM(R125:R130)</f>
        <v>13730</v>
      </c>
      <c r="X131" s="0" t="n">
        <v>3</v>
      </c>
      <c r="Y131" s="0" t="n">
        <f aca="false">SQRT(X131)</f>
        <v>1.73205080756888</v>
      </c>
    </row>
    <row r="132" customFormat="false" ht="14.25" hidden="false" customHeight="false" outlineLevel="0" collapsed="false">
      <c r="K132" s="0" t="n">
        <f aca="false">SQRT(K131)</f>
        <v>117.175082675456</v>
      </c>
      <c r="S132" s="0" t="n">
        <f aca="false">2*5*1373</f>
        <v>13730</v>
      </c>
      <c r="T132" s="0" t="n">
        <f aca="false">SQRT(S132)</f>
        <v>117.175082675456</v>
      </c>
    </row>
    <row r="133" customFormat="false" ht="14.25" hidden="false" customHeight="false" outlineLevel="0" collapsed="false">
      <c r="X133" s="0" t="n">
        <f aca="false">X130/X131</f>
        <v>0.666666666666667</v>
      </c>
      <c r="Y133" s="0" t="n">
        <f aca="false">Y130/Y131</f>
        <v>0.816496580927726</v>
      </c>
    </row>
    <row r="134" customFormat="false" ht="14.25" hidden="false" customHeight="false" outlineLevel="0" collapsed="false">
      <c r="G134" s="0" t="n">
        <f aca="false">H134*I134</f>
        <v>117</v>
      </c>
      <c r="H134" s="0" t="n">
        <v>13</v>
      </c>
      <c r="I134" s="0" t="n">
        <f aca="false">J134/13</f>
        <v>9</v>
      </c>
      <c r="J134" s="0" t="n">
        <v>117</v>
      </c>
      <c r="K134" s="0" t="n">
        <f aca="false">J134^2</f>
        <v>13689</v>
      </c>
      <c r="L134" s="0" t="n">
        <v>41</v>
      </c>
      <c r="M134" s="0" t="n">
        <f aca="false">L134+K134</f>
        <v>13730</v>
      </c>
      <c r="N134" s="0" t="n">
        <f aca="false">M134/K134</f>
        <v>1.00299510555921</v>
      </c>
      <c r="O134" s="0" t="n">
        <f aca="false">SQRT(N134)</f>
        <v>1.00149643312356</v>
      </c>
      <c r="P134" s="0" t="n">
        <v>2340</v>
      </c>
      <c r="Q134" s="0" t="n">
        <f aca="false">P134*O134</f>
        <v>2343.50165350912</v>
      </c>
      <c r="X134" s="0" t="n">
        <f aca="false">SQRT(X133)</f>
        <v>0.816496580927726</v>
      </c>
    </row>
    <row r="135" customFormat="false" ht="14.25" hidden="false" customHeight="false" outlineLevel="0" collapsed="false">
      <c r="J135" s="0" t="n">
        <f aca="false">J134*20</f>
        <v>2340</v>
      </c>
      <c r="K135" s="0" t="n">
        <f aca="false">K134-K131</f>
        <v>-41</v>
      </c>
    </row>
    <row r="137" customFormat="false" ht="14.25" hidden="false" customHeight="false" outlineLevel="0" collapsed="false">
      <c r="I137" s="0" t="n">
        <f aca="false">J137/2</f>
        <v>59</v>
      </c>
      <c r="J137" s="0" t="n">
        <v>118</v>
      </c>
      <c r="K137" s="0" t="n">
        <f aca="false">J137^2</f>
        <v>13924</v>
      </c>
      <c r="L137" s="0" t="n">
        <f aca="false">K137-K131</f>
        <v>194</v>
      </c>
      <c r="M137" s="0" t="n">
        <f aca="false">L137/2</f>
        <v>97</v>
      </c>
      <c r="N137" s="0" t="n">
        <f aca="false">M137/7</f>
        <v>13.8571428571429</v>
      </c>
    </row>
    <row r="138" customFormat="false" ht="14.25" hidden="false" customHeight="false" outlineLevel="0" collapsed="false">
      <c r="J138" s="0" t="n">
        <f aca="false">J137*20</f>
        <v>2360</v>
      </c>
    </row>
    <row r="141" customFormat="false" ht="14.25" hidden="false" customHeight="false" outlineLevel="0" collapsed="false">
      <c r="F141" s="0" t="n">
        <v>19</v>
      </c>
      <c r="G141" s="0" t="n">
        <v>1804</v>
      </c>
      <c r="I141" s="0" t="n">
        <f aca="false">SQRT(G141/G142)*F141</f>
        <v>18.994736112934</v>
      </c>
      <c r="K141" s="0" t="n">
        <v>9020</v>
      </c>
      <c r="L141" s="0" t="n">
        <f aca="false">SQRT(K141)</f>
        <v>94.9736805646701</v>
      </c>
    </row>
    <row r="142" customFormat="false" ht="14.25" hidden="false" customHeight="false" outlineLevel="0" collapsed="false">
      <c r="G142" s="0" t="n">
        <v>1805</v>
      </c>
      <c r="K142" s="0" t="n">
        <v>25</v>
      </c>
      <c r="O142" s="0" t="n">
        <f aca="false">2 * 5 * 7 * 7 * 7 * 7</f>
        <v>24010</v>
      </c>
    </row>
    <row r="143" customFormat="false" ht="14.25" hidden="false" customHeight="false" outlineLevel="0" collapsed="false">
      <c r="K143" s="0" t="n">
        <f aca="false">K141/K142</f>
        <v>360.8</v>
      </c>
    </row>
    <row r="144" customFormat="false" ht="14.25" hidden="false" customHeight="false" outlineLevel="0" collapsed="false">
      <c r="N144" s="0" t="n">
        <v>7</v>
      </c>
      <c r="O144" s="0" t="n">
        <f aca="false">N144^2</f>
        <v>49</v>
      </c>
      <c r="P144" s="0" t="n">
        <f aca="false">O144^2</f>
        <v>2401</v>
      </c>
    </row>
    <row r="150" customFormat="false" ht="14.25" hidden="false" customHeight="false" outlineLevel="0" collapsed="false">
      <c r="E150" s="0" t="n">
        <v>2</v>
      </c>
    </row>
    <row r="151" customFormat="false" ht="14.25" hidden="false" customHeight="false" outlineLevel="0" collapsed="false">
      <c r="E151" s="0" t="n">
        <v>5</v>
      </c>
      <c r="F151" s="0" t="n">
        <f aca="false">SQRT(E151)</f>
        <v>2.23606797749979</v>
      </c>
    </row>
    <row r="152" customFormat="false" ht="14.25" hidden="false" customHeight="false" outlineLevel="0" collapsed="false">
      <c r="E152" s="0" t="n">
        <f aca="false">E150/E151</f>
        <v>0.4</v>
      </c>
      <c r="F152" s="0" t="n">
        <f aca="false">E152*F151</f>
        <v>0.894427190999916</v>
      </c>
    </row>
    <row r="153" customFormat="false" ht="14.25" hidden="false" customHeight="false" outlineLevel="0" collapsed="false">
      <c r="D153" s="0" t="n">
        <v>4</v>
      </c>
    </row>
    <row r="154" customFormat="false" ht="14.25" hidden="false" customHeight="false" outlineLevel="0" collapsed="false">
      <c r="D154" s="0" t="n">
        <v>5</v>
      </c>
    </row>
    <row r="155" customFormat="false" ht="14.25" hidden="false" customHeight="false" outlineLevel="0" collapsed="false">
      <c r="D155" s="0" t="n">
        <f aca="false">D153/D154</f>
        <v>0.8</v>
      </c>
    </row>
    <row r="156" customFormat="false" ht="14.25" hidden="false" customHeight="false" outlineLevel="0" collapsed="false">
      <c r="D156" s="0" t="n">
        <f aca="false">SQRT(D155)</f>
        <v>0.894427190999916</v>
      </c>
      <c r="F156" s="0" t="n">
        <v>20</v>
      </c>
    </row>
    <row r="157" customFormat="false" ht="14.25" hidden="false" customHeight="false" outlineLevel="0" collapsed="false">
      <c r="F157" s="0" t="n">
        <f aca="false">SQRT(F156)</f>
        <v>4.47213595499958</v>
      </c>
      <c r="H157" s="0" t="n">
        <v>1</v>
      </c>
    </row>
    <row r="158" customFormat="false" ht="14.25" hidden="false" customHeight="false" outlineLevel="0" collapsed="false">
      <c r="H158" s="0" t="n">
        <f aca="false">H157/F157</f>
        <v>0.223606797749979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8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C26" activeCellId="0" sqref="C26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B1" s="0" t="s">
        <v>92</v>
      </c>
      <c r="C1" s="0" t="s">
        <v>1</v>
      </c>
      <c r="D1" s="0" t="s">
        <v>2</v>
      </c>
      <c r="E1" s="0" t="s">
        <v>3</v>
      </c>
      <c r="F1" s="0" t="s">
        <v>7</v>
      </c>
      <c r="L1" s="0" t="s">
        <v>93</v>
      </c>
    </row>
    <row r="2" customFormat="false" ht="14.25" hidden="false" customHeight="false" outlineLevel="0" collapsed="false">
      <c r="D2" s="15"/>
      <c r="E2" s="15"/>
      <c r="F2" s="16"/>
    </row>
    <row r="3" customFormat="false" ht="14.25" hidden="false" customHeight="false" outlineLevel="0" collapsed="false">
      <c r="C3" s="11" t="n">
        <v>3</v>
      </c>
      <c r="D3" s="11" t="n">
        <v>51</v>
      </c>
      <c r="E3" s="11" t="n">
        <v>3</v>
      </c>
      <c r="F3" s="11" t="n">
        <v>2200</v>
      </c>
      <c r="H3" s="11" t="n">
        <v>1</v>
      </c>
      <c r="I3" s="11" t="n">
        <v>45</v>
      </c>
      <c r="J3" s="11" t="n">
        <v>3</v>
      </c>
      <c r="K3" s="11" t="n">
        <v>4500</v>
      </c>
    </row>
    <row r="4" customFormat="false" ht="14.25" hidden="false" customHeight="false" outlineLevel="0" collapsed="false">
      <c r="C4" s="11" t="n">
        <v>1</v>
      </c>
      <c r="D4" s="11" t="n">
        <v>30</v>
      </c>
      <c r="E4" s="11" t="n">
        <v>1</v>
      </c>
      <c r="F4" s="11" t="n">
        <v>1600</v>
      </c>
    </row>
    <row r="5" customFormat="false" ht="14.25" hidden="false" customHeight="false" outlineLevel="0" collapsed="false">
      <c r="C5" s="11" t="n">
        <v>2</v>
      </c>
      <c r="D5" s="11" t="n">
        <v>45</v>
      </c>
      <c r="E5" s="11" t="n">
        <v>2</v>
      </c>
      <c r="F5" s="11" t="n">
        <v>1900</v>
      </c>
    </row>
    <row r="6" customFormat="false" ht="14.25" hidden="false" customHeight="false" outlineLevel="0" collapsed="false">
      <c r="C6" s="11" t="n">
        <v>3</v>
      </c>
      <c r="D6" s="11" t="n">
        <v>55</v>
      </c>
      <c r="E6" s="11" t="n">
        <v>1</v>
      </c>
      <c r="F6" s="11" t="n">
        <v>2000</v>
      </c>
    </row>
    <row r="8" customFormat="false" ht="14.25" hidden="false" customHeight="false" outlineLevel="0" collapsed="false">
      <c r="B8" s="0" t="s">
        <v>94</v>
      </c>
      <c r="C8" s="0" t="n">
        <f aca="false">AVERAGE(C3:C6)</f>
        <v>2.25</v>
      </c>
      <c r="D8" s="0" t="n">
        <f aca="false">AVERAGE(D3:D6)</f>
        <v>45.25</v>
      </c>
      <c r="E8" s="0" t="n">
        <f aca="false">AVERAGE(E3:E6)</f>
        <v>1.75</v>
      </c>
      <c r="F8" s="0" t="n">
        <f aca="false">AVERAGE(F3:F6)</f>
        <v>1925</v>
      </c>
      <c r="H8" s="0" t="n">
        <f aca="false">AVERAGE(H3:H6)</f>
        <v>1</v>
      </c>
      <c r="I8" s="0" t="n">
        <f aca="false">AVERAGE(I3:I6)</f>
        <v>45</v>
      </c>
      <c r="J8" s="0" t="n">
        <f aca="false">AVERAGE(J3:J6)</f>
        <v>3</v>
      </c>
      <c r="K8" s="0" t="n">
        <f aca="false">AVERAGE(K3:K6)</f>
        <v>4500</v>
      </c>
    </row>
    <row r="10" customFormat="false" ht="14.25" hidden="false" customHeight="false" outlineLevel="0" collapsed="false">
      <c r="B10" s="0" t="s">
        <v>95</v>
      </c>
      <c r="C10" s="0" t="n">
        <f aca="false">C3-C$8</f>
        <v>0.75</v>
      </c>
      <c r="D10" s="0" t="n">
        <f aca="false">D3-D$8</f>
        <v>5.75</v>
      </c>
      <c r="E10" s="0" t="n">
        <f aca="false">E3-E$8</f>
        <v>1.25</v>
      </c>
      <c r="F10" s="0" t="n">
        <f aca="false">F3-F$8</f>
        <v>275</v>
      </c>
      <c r="H10" s="0" t="n">
        <f aca="false">H3-H$8</f>
        <v>0</v>
      </c>
      <c r="I10" s="0" t="n">
        <f aca="false">I3-I$8</f>
        <v>0</v>
      </c>
      <c r="J10" s="0" t="n">
        <f aca="false">J3-J$8</f>
        <v>0</v>
      </c>
      <c r="K10" s="0" t="n">
        <f aca="false">K3-K$8</f>
        <v>0</v>
      </c>
    </row>
    <row r="11" customFormat="false" ht="14.25" hidden="false" customHeight="false" outlineLevel="0" collapsed="false">
      <c r="C11" s="0" t="n">
        <f aca="false">C4-C$8</f>
        <v>-1.25</v>
      </c>
      <c r="D11" s="0" t="n">
        <f aca="false">D4-D$8</f>
        <v>-15.25</v>
      </c>
      <c r="E11" s="0" t="n">
        <f aca="false">E4-E$8</f>
        <v>-0.75</v>
      </c>
      <c r="F11" s="0" t="n">
        <f aca="false">F4-F$8</f>
        <v>-325</v>
      </c>
    </row>
    <row r="12" customFormat="false" ht="14.25" hidden="false" customHeight="false" outlineLevel="0" collapsed="false">
      <c r="C12" s="0" t="n">
        <f aca="false">C5-C$8</f>
        <v>-0.25</v>
      </c>
      <c r="D12" s="0" t="n">
        <f aca="false">D5-D$8</f>
        <v>-0.25</v>
      </c>
      <c r="E12" s="0" t="n">
        <f aca="false">E5-E$8</f>
        <v>0.25</v>
      </c>
      <c r="F12" s="0" t="n">
        <f aca="false">F5-F$8</f>
        <v>-25</v>
      </c>
    </row>
    <row r="13" customFormat="false" ht="14.25" hidden="false" customHeight="false" outlineLevel="0" collapsed="false">
      <c r="C13" s="0" t="n">
        <f aca="false">C6-C$8</f>
        <v>0.75</v>
      </c>
      <c r="D13" s="0" t="n">
        <f aca="false">D6-D$8</f>
        <v>9.75</v>
      </c>
      <c r="E13" s="0" t="n">
        <f aca="false">E6-E$8</f>
        <v>-0.75</v>
      </c>
      <c r="F13" s="0" t="n">
        <f aca="false">F6-F$8</f>
        <v>75</v>
      </c>
    </row>
    <row r="15" customFormat="false" ht="14.25" hidden="false" customHeight="false" outlineLevel="0" collapsed="false">
      <c r="C15" s="0" t="n">
        <f aca="false">C10^2</f>
        <v>0.5625</v>
      </c>
      <c r="D15" s="0" t="n">
        <f aca="false">D10^2</f>
        <v>33.0625</v>
      </c>
      <c r="E15" s="0" t="n">
        <f aca="false">E10^2</f>
        <v>1.5625</v>
      </c>
      <c r="F15" s="0" t="n">
        <f aca="false">F10^2</f>
        <v>75625</v>
      </c>
      <c r="H15" s="0" t="n">
        <f aca="false">H10^2</f>
        <v>0</v>
      </c>
      <c r="I15" s="0" t="n">
        <f aca="false">I10^2</f>
        <v>0</v>
      </c>
      <c r="J15" s="0" t="n">
        <f aca="false">J10^2</f>
        <v>0</v>
      </c>
      <c r="K15" s="0" t="n">
        <f aca="false">K10^2</f>
        <v>0</v>
      </c>
    </row>
    <row r="16" customFormat="false" ht="14.25" hidden="false" customHeight="false" outlineLevel="0" collapsed="false">
      <c r="C16" s="0" t="n">
        <f aca="false">C11^2</f>
        <v>1.5625</v>
      </c>
      <c r="D16" s="0" t="n">
        <f aca="false">D11^2</f>
        <v>232.5625</v>
      </c>
      <c r="E16" s="0" t="n">
        <f aca="false">E11^2</f>
        <v>0.5625</v>
      </c>
      <c r="F16" s="0" t="n">
        <f aca="false">F11^2</f>
        <v>105625</v>
      </c>
    </row>
    <row r="17" customFormat="false" ht="14.25" hidden="false" customHeight="false" outlineLevel="0" collapsed="false">
      <c r="C17" s="0" t="n">
        <f aca="false">C12^2</f>
        <v>0.0625</v>
      </c>
      <c r="D17" s="0" t="n">
        <f aca="false">D12^2</f>
        <v>0.0625</v>
      </c>
      <c r="E17" s="0" t="n">
        <f aca="false">E12^2</f>
        <v>0.0625</v>
      </c>
      <c r="F17" s="0" t="n">
        <f aca="false">F12^2</f>
        <v>625</v>
      </c>
    </row>
    <row r="18" customFormat="false" ht="14.25" hidden="false" customHeight="false" outlineLevel="0" collapsed="false">
      <c r="C18" s="0" t="n">
        <f aca="false">C13^2</f>
        <v>0.5625</v>
      </c>
      <c r="D18" s="0" t="n">
        <f aca="false">D13^2</f>
        <v>95.0625</v>
      </c>
      <c r="E18" s="0" t="n">
        <f aca="false">E13^2</f>
        <v>0.5625</v>
      </c>
      <c r="F18" s="0" t="n">
        <f aca="false">F13^2</f>
        <v>5625</v>
      </c>
    </row>
    <row r="20" customFormat="false" ht="14.25" hidden="false" customHeight="false" outlineLevel="0" collapsed="false">
      <c r="C20" s="0" t="n">
        <f aca="false">SUM(C15:C19)</f>
        <v>2.75</v>
      </c>
      <c r="D20" s="0" t="n">
        <f aca="false">SUM(D15:D19)</f>
        <v>360.75</v>
      </c>
      <c r="E20" s="0" t="n">
        <f aca="false">SUM(E15:E19)</f>
        <v>2.75</v>
      </c>
      <c r="F20" s="0" t="n">
        <f aca="false">SUM(F15:F19)</f>
        <v>187500</v>
      </c>
    </row>
    <row r="21" customFormat="false" ht="14.25" hidden="false" customHeight="false" outlineLevel="0" collapsed="false">
      <c r="B21" s="0" t="s">
        <v>96</v>
      </c>
      <c r="C21" s="0" t="n">
        <f aca="false">SQRT(C20)</f>
        <v>1.6583123951777</v>
      </c>
      <c r="D21" s="0" t="n">
        <f aca="false">SQRT(D20)</f>
        <v>18.9934199132226</v>
      </c>
      <c r="E21" s="0" t="n">
        <f aca="false">SQRT(E20)</f>
        <v>1.6583123951777</v>
      </c>
      <c r="F21" s="0" t="n">
        <f aca="false">SQRT(F20)</f>
        <v>433.012701892219</v>
      </c>
    </row>
    <row r="23" customFormat="false" ht="14.25" hidden="false" customHeight="false" outlineLevel="0" collapsed="false">
      <c r="B23" s="0" t="s">
        <v>97</v>
      </c>
      <c r="C23" s="20" t="n">
        <f aca="false">C10/C$21</f>
        <v>0.452267016866645</v>
      </c>
      <c r="D23" s="20" t="n">
        <f aca="false">D10/D$21</f>
        <v>0.302736422733277</v>
      </c>
      <c r="E23" s="20" t="n">
        <f aca="false">E10/E$21</f>
        <v>0.753778361444409</v>
      </c>
      <c r="F23" s="20" t="n">
        <f aca="false">F10/F$21</f>
        <v>0.635085296108588</v>
      </c>
      <c r="G23" s="20"/>
      <c r="H23" s="20" t="n">
        <f aca="false">C23*$F23</f>
        <v>0.287228132326901</v>
      </c>
      <c r="I23" s="20" t="n">
        <f aca="false">D23*$F23</f>
        <v>0.192263450674418</v>
      </c>
      <c r="J23" s="20" t="n">
        <f aca="false">E23*$F23</f>
        <v>0.478713553878169</v>
      </c>
      <c r="K23" s="20" t="n">
        <f aca="false">F23*$F23</f>
        <v>0.403333333333333</v>
      </c>
    </row>
    <row r="24" customFormat="false" ht="14.25" hidden="false" customHeight="false" outlineLevel="0" collapsed="false">
      <c r="C24" s="20" t="n">
        <f aca="false">C11/C$21</f>
        <v>-0.753778361444409</v>
      </c>
      <c r="D24" s="20" t="n">
        <f aca="false">D11/D$21</f>
        <v>-0.802909642901301</v>
      </c>
      <c r="E24" s="20" t="n">
        <f aca="false">E11/E$21</f>
        <v>-0.452267016866645</v>
      </c>
      <c r="F24" s="20" t="n">
        <f aca="false">F11/F$21</f>
        <v>-0.750555349946514</v>
      </c>
      <c r="G24" s="20"/>
      <c r="H24" s="20" t="n">
        <f aca="false">C24*$F24</f>
        <v>0.565752381856018</v>
      </c>
      <c r="I24" s="20" t="n">
        <f aca="false">D24*$F24</f>
        <v>0.602628128003216</v>
      </c>
      <c r="J24" s="20" t="n">
        <f aca="false">E24*$F24</f>
        <v>0.339451429113611</v>
      </c>
      <c r="K24" s="20" t="n">
        <f aca="false">F24*$F24</f>
        <v>0.563333333333333</v>
      </c>
    </row>
    <row r="25" customFormat="false" ht="14.25" hidden="false" customHeight="false" outlineLevel="0" collapsed="false">
      <c r="C25" s="20" t="n">
        <f aca="false">C12/C$21</f>
        <v>-0.150755672288882</v>
      </c>
      <c r="D25" s="20" t="n">
        <f aca="false">D12/D$21</f>
        <v>-0.0131624531623164</v>
      </c>
      <c r="E25" s="20" t="n">
        <f aca="false">E12/E$21</f>
        <v>0.150755672288882</v>
      </c>
      <c r="F25" s="20" t="n">
        <f aca="false">F12/F$21</f>
        <v>-0.0577350269189626</v>
      </c>
      <c r="G25" s="20"/>
      <c r="H25" s="20" t="n">
        <f aca="false">C25*$F25</f>
        <v>0.00870388279778489</v>
      </c>
      <c r="I25" s="20" t="n">
        <f aca="false">D25*$F25</f>
        <v>0.000759934587645922</v>
      </c>
      <c r="J25" s="20" t="n">
        <f aca="false">E25*$F25</f>
        <v>-0.00870388279778489</v>
      </c>
      <c r="K25" s="20" t="n">
        <f aca="false">F25*$F25</f>
        <v>0.00333333333333333</v>
      </c>
    </row>
    <row r="26" customFormat="false" ht="14.25" hidden="false" customHeight="false" outlineLevel="0" collapsed="false">
      <c r="C26" s="20" t="n">
        <f aca="false">C13/C$21</f>
        <v>0.452267016866645</v>
      </c>
      <c r="D26" s="20" t="n">
        <f aca="false">D13/D$21</f>
        <v>0.51333567333034</v>
      </c>
      <c r="E26" s="20" t="n">
        <f aca="false">E13/E$21</f>
        <v>-0.452267016866645</v>
      </c>
      <c r="F26" s="20" t="n">
        <f aca="false">F13/F$21</f>
        <v>0.173205080756888</v>
      </c>
      <c r="G26" s="20"/>
      <c r="H26" s="20" t="n">
        <f aca="false">C26*$F26</f>
        <v>0.078334945180064</v>
      </c>
      <c r="I26" s="20" t="n">
        <f aca="false">D26*$F26</f>
        <v>0.0889123467545729</v>
      </c>
      <c r="J26" s="20" t="n">
        <f aca="false">E26*$F26</f>
        <v>-0.078334945180064</v>
      </c>
      <c r="K26" s="20" t="n">
        <f aca="false">F26*$F26</f>
        <v>0.03</v>
      </c>
    </row>
    <row r="27" customFormat="false" ht="14.25" hidden="false" customHeight="false" outlineLevel="0" collapsed="false">
      <c r="C27" s="20"/>
      <c r="D27" s="20"/>
      <c r="E27" s="20"/>
      <c r="F27" s="20"/>
      <c r="G27" s="20"/>
      <c r="H27" s="20"/>
      <c r="I27" s="20"/>
      <c r="J27" s="20"/>
      <c r="K27" s="20"/>
    </row>
    <row r="28" customFormat="false" ht="14.25" hidden="false" customHeight="false" outlineLevel="0" collapsed="false">
      <c r="B28" s="0" t="s">
        <v>98</v>
      </c>
      <c r="C28" s="20" t="n">
        <f aca="false">SUM(C23:C27)</f>
        <v>0</v>
      </c>
      <c r="D28" s="20" t="n">
        <f aca="false">SUM(D23:D27)</f>
        <v>0</v>
      </c>
      <c r="E28" s="20" t="n">
        <f aca="false">SUM(E23:E27)</f>
        <v>0</v>
      </c>
      <c r="F28" s="20" t="n">
        <f aca="false">SUM(F23:F27)</f>
        <v>0</v>
      </c>
      <c r="G28" s="20"/>
      <c r="H28" s="20" t="n">
        <f aca="false">SUM(H23:H27)</f>
        <v>0.940019342160768</v>
      </c>
      <c r="I28" s="20" t="n">
        <f aca="false">SUM(I23:I27)</f>
        <v>0.884563860019853</v>
      </c>
      <c r="J28" s="20" t="n">
        <f aca="false">SUM(J23:J27)</f>
        <v>0.731126155013931</v>
      </c>
      <c r="K28" s="20" t="n">
        <f aca="false">SUM(K23:K27)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72"/>
  <sheetViews>
    <sheetView showFormulas="false" showGridLines="true" showRowColHeaders="true" showZeros="true" rightToLeft="false" tabSelected="false" showOutlineSymbols="true" defaultGridColor="true" view="normal" topLeftCell="C36" colorId="64" zoomScale="100" zoomScaleNormal="100" zoomScalePageLayoutView="100" workbookViewId="0">
      <selection pane="topLeft" activeCell="H72" activeCellId="0" sqref="H72"/>
    </sheetView>
  </sheetViews>
  <sheetFormatPr defaultColWidth="8.59765625" defaultRowHeight="14.25" zeroHeight="false" outlineLevelRow="0" outlineLevelCol="0"/>
  <sheetData>
    <row r="3" customFormat="false" ht="14.25" hidden="false" customHeight="false" outlineLevel="0" collapsed="false">
      <c r="A3" s="12" t="n">
        <v>2</v>
      </c>
      <c r="B3" s="12" t="n">
        <v>4</v>
      </c>
      <c r="C3" s="12" t="n">
        <v>5</v>
      </c>
      <c r="D3" s="10" t="n">
        <f aca="false">B3/C3</f>
        <v>0.8</v>
      </c>
      <c r="E3" s="10" t="n">
        <f aca="false">SQRT(D3)</f>
        <v>0.894427190999916</v>
      </c>
      <c r="F3" s="10" t="n">
        <f aca="false">E3*A3</f>
        <v>1.78885438199983</v>
      </c>
      <c r="G3" s="10" t="n">
        <f aca="false">F3*D3</f>
        <v>1.43108350559987</v>
      </c>
    </row>
    <row r="4" customFormat="false" ht="14.25" hidden="false" customHeight="false" outlineLevel="0" collapsed="false">
      <c r="A4" s="12" t="n">
        <v>2</v>
      </c>
      <c r="B4" s="12" t="n">
        <v>4</v>
      </c>
      <c r="C4" s="12" t="n">
        <v>5</v>
      </c>
      <c r="D4" s="10" t="n">
        <f aca="false">B4/C4</f>
        <v>0.8</v>
      </c>
      <c r="E4" s="10" t="n">
        <f aca="false">SQRT(D4)</f>
        <v>0.894427190999916</v>
      </c>
      <c r="F4" s="10" t="n">
        <f aca="false">E4*A4</f>
        <v>1.78885438199983</v>
      </c>
      <c r="G4" s="10" t="n">
        <f aca="false">F4*D4</f>
        <v>1.43108350559987</v>
      </c>
    </row>
    <row r="13" customFormat="false" ht="14.25" hidden="false" customHeight="false" outlineLevel="0" collapsed="false">
      <c r="B13" s="0" t="n">
        <f aca="false">B14-1</f>
        <v>1</v>
      </c>
      <c r="C13" s="0" t="n">
        <f aca="false">SQRT(B13)</f>
        <v>1</v>
      </c>
      <c r="D13" s="0" t="n">
        <f aca="false">C13/B13</f>
        <v>1</v>
      </c>
    </row>
    <row r="14" customFormat="false" ht="14.25" hidden="false" customHeight="false" outlineLevel="0" collapsed="false">
      <c r="B14" s="0" t="n">
        <f aca="false">B15-1</f>
        <v>2</v>
      </c>
      <c r="C14" s="0" t="n">
        <f aca="false">SQRT(B14)</f>
        <v>1.4142135623731</v>
      </c>
      <c r="D14" s="0" t="n">
        <f aca="false">C14/B14</f>
        <v>0.707106781186548</v>
      </c>
    </row>
    <row r="15" customFormat="false" ht="14.25" hidden="false" customHeight="false" outlineLevel="0" collapsed="false">
      <c r="B15" s="0" t="n">
        <f aca="false">B16-1</f>
        <v>3</v>
      </c>
      <c r="C15" s="0" t="n">
        <f aca="false">SQRT(B15)</f>
        <v>1.73205080756888</v>
      </c>
      <c r="D15" s="0" t="n">
        <f aca="false">C15/B15</f>
        <v>0.577350269189626</v>
      </c>
    </row>
    <row r="16" customFormat="false" ht="14.25" hidden="false" customHeight="false" outlineLevel="0" collapsed="false">
      <c r="B16" s="0" t="n">
        <f aca="false">B17-1</f>
        <v>4</v>
      </c>
      <c r="C16" s="0" t="n">
        <f aca="false">SQRT(B16)</f>
        <v>2</v>
      </c>
      <c r="D16" s="0" t="n">
        <f aca="false">C16/B16</f>
        <v>0.5</v>
      </c>
    </row>
    <row r="17" customFormat="false" ht="14.25" hidden="false" customHeight="false" outlineLevel="0" collapsed="false">
      <c r="B17" s="0" t="n">
        <v>5</v>
      </c>
      <c r="C17" s="0" t="n">
        <f aca="false">SQRT(B17)</f>
        <v>2.23606797749979</v>
      </c>
      <c r="D17" s="0" t="n">
        <f aca="false">C17/B17</f>
        <v>0.447213595499958</v>
      </c>
    </row>
    <row r="18" customFormat="false" ht="14.25" hidden="false" customHeight="false" outlineLevel="0" collapsed="false">
      <c r="B18" s="0" t="n">
        <f aca="false">B17+1</f>
        <v>6</v>
      </c>
      <c r="C18" s="0" t="n">
        <f aca="false">SQRT(B18)</f>
        <v>2.44948974278318</v>
      </c>
      <c r="D18" s="0" t="n">
        <f aca="false">C18/B18</f>
        <v>0.408248290463863</v>
      </c>
    </row>
    <row r="19" customFormat="false" ht="14.25" hidden="false" customHeight="false" outlineLevel="0" collapsed="false">
      <c r="B19" s="0" t="n">
        <f aca="false">B18+1</f>
        <v>7</v>
      </c>
      <c r="C19" s="0" t="n">
        <f aca="false">SQRT(B19)</f>
        <v>2.64575131106459</v>
      </c>
      <c r="D19" s="0" t="n">
        <f aca="false">C19/B19</f>
        <v>0.377964473009227</v>
      </c>
    </row>
    <row r="20" customFormat="false" ht="14.25" hidden="false" customHeight="false" outlineLevel="0" collapsed="false">
      <c r="B20" s="0" t="n">
        <f aca="false">B19+1</f>
        <v>8</v>
      </c>
      <c r="C20" s="0" t="n">
        <f aca="false">SQRT(B20)</f>
        <v>2.82842712474619</v>
      </c>
      <c r="D20" s="0" t="n">
        <f aca="false">C20/B20</f>
        <v>0.353553390593274</v>
      </c>
    </row>
    <row r="21" customFormat="false" ht="14.25" hidden="false" customHeight="false" outlineLevel="0" collapsed="false">
      <c r="B21" s="0" t="n">
        <f aca="false">B20+1</f>
        <v>9</v>
      </c>
      <c r="C21" s="0" t="n">
        <f aca="false">SQRT(B21)</f>
        <v>3</v>
      </c>
      <c r="D21" s="0" t="n">
        <f aca="false">C21/B21</f>
        <v>0.333333333333333</v>
      </c>
    </row>
    <row r="22" customFormat="false" ht="14.25" hidden="false" customHeight="false" outlineLevel="0" collapsed="false">
      <c r="B22" s="0" t="n">
        <f aca="false">B21+1</f>
        <v>10</v>
      </c>
      <c r="C22" s="0" t="n">
        <f aca="false">SQRT(B22)</f>
        <v>3.16227766016838</v>
      </c>
      <c r="D22" s="0" t="n">
        <f aca="false">C22/B22</f>
        <v>0.316227766016838</v>
      </c>
    </row>
    <row r="23" customFormat="false" ht="14.25" hidden="false" customHeight="false" outlineLevel="0" collapsed="false">
      <c r="B23" s="0" t="n">
        <f aca="false">B22+1</f>
        <v>11</v>
      </c>
      <c r="C23" s="0" t="n">
        <f aca="false">SQRT(B23)</f>
        <v>3.3166247903554</v>
      </c>
      <c r="D23" s="0" t="n">
        <f aca="false">C23/B23</f>
        <v>0.301511344577764</v>
      </c>
    </row>
    <row r="24" customFormat="false" ht="14.25" hidden="false" customHeight="false" outlineLevel="0" collapsed="false">
      <c r="B24" s="0" t="n">
        <f aca="false">B23+1</f>
        <v>12</v>
      </c>
      <c r="C24" s="0" t="n">
        <f aca="false">SQRT(B24)</f>
        <v>3.46410161513775</v>
      </c>
      <c r="D24" s="0" t="n">
        <f aca="false">C24/B24</f>
        <v>0.288675134594813</v>
      </c>
    </row>
    <row r="25" customFormat="false" ht="14.25" hidden="false" customHeight="false" outlineLevel="0" collapsed="false">
      <c r="B25" s="0" t="n">
        <f aca="false">B24+1</f>
        <v>13</v>
      </c>
      <c r="C25" s="0" t="n">
        <f aca="false">SQRT(B25)</f>
        <v>3.60555127546399</v>
      </c>
      <c r="D25" s="0" t="n">
        <f aca="false">C25/B25</f>
        <v>0.277350098112615</v>
      </c>
    </row>
    <row r="26" customFormat="false" ht="14.25" hidden="false" customHeight="false" outlineLevel="0" collapsed="false">
      <c r="B26" s="0" t="n">
        <f aca="false">B25+1</f>
        <v>14</v>
      </c>
      <c r="C26" s="0" t="n">
        <f aca="false">SQRT(B26)</f>
        <v>3.74165738677394</v>
      </c>
      <c r="D26" s="0" t="n">
        <f aca="false">C26/B26</f>
        <v>0.267261241912424</v>
      </c>
    </row>
    <row r="27" customFormat="false" ht="14.25" hidden="false" customHeight="false" outlineLevel="0" collapsed="false">
      <c r="B27" s="0" t="n">
        <f aca="false">B26+1</f>
        <v>15</v>
      </c>
      <c r="C27" s="0" t="n">
        <f aca="false">SQRT(B27)</f>
        <v>3.87298334620742</v>
      </c>
      <c r="D27" s="0" t="n">
        <f aca="false">C27/B27</f>
        <v>0.258198889747161</v>
      </c>
    </row>
    <row r="28" customFormat="false" ht="14.25" hidden="false" customHeight="false" outlineLevel="0" collapsed="false">
      <c r="B28" s="0" t="n">
        <f aca="false">B27+1</f>
        <v>16</v>
      </c>
      <c r="C28" s="0" t="n">
        <f aca="false">SQRT(B28)</f>
        <v>4</v>
      </c>
      <c r="D28" s="0" t="n">
        <f aca="false">C28/B28</f>
        <v>0.25</v>
      </c>
    </row>
    <row r="29" customFormat="false" ht="14.25" hidden="false" customHeight="false" outlineLevel="0" collapsed="false">
      <c r="B29" s="0" t="n">
        <f aca="false">B28+1</f>
        <v>17</v>
      </c>
      <c r="C29" s="0" t="n">
        <f aca="false">SQRT(B29)</f>
        <v>4.12310562561766</v>
      </c>
      <c r="D29" s="0" t="n">
        <f aca="false">C29/B29</f>
        <v>0.242535625036333</v>
      </c>
    </row>
    <row r="30" customFormat="false" ht="14.25" hidden="false" customHeight="false" outlineLevel="0" collapsed="false">
      <c r="B30" s="0" t="n">
        <f aca="false">B29+1</f>
        <v>18</v>
      </c>
      <c r="C30" s="0" t="n">
        <f aca="false">SQRT(B30)</f>
        <v>4.24264068711929</v>
      </c>
      <c r="D30" s="0" t="n">
        <f aca="false">C30/B30</f>
        <v>0.235702260395516</v>
      </c>
    </row>
    <row r="31" customFormat="false" ht="14.25" hidden="false" customHeight="false" outlineLevel="0" collapsed="false">
      <c r="B31" s="0" t="n">
        <f aca="false">B30+1</f>
        <v>19</v>
      </c>
      <c r="C31" s="0" t="n">
        <f aca="false">SQRT(B31)</f>
        <v>4.35889894354067</v>
      </c>
      <c r="D31" s="0" t="n">
        <f aca="false">C31/B31</f>
        <v>0.229415733870562</v>
      </c>
    </row>
    <row r="32" customFormat="false" ht="14.25" hidden="false" customHeight="false" outlineLevel="0" collapsed="false">
      <c r="B32" s="0" t="n">
        <f aca="false">B31+1</f>
        <v>20</v>
      </c>
      <c r="C32" s="0" t="n">
        <f aca="false">SQRT(B32)</f>
        <v>4.47213595499958</v>
      </c>
      <c r="D32" s="0" t="n">
        <f aca="false">C32/B32</f>
        <v>0.223606797749979</v>
      </c>
    </row>
    <row r="33" customFormat="false" ht="14.25" hidden="false" customHeight="false" outlineLevel="0" collapsed="false">
      <c r="B33" s="0" t="n">
        <f aca="false">B32+1</f>
        <v>21</v>
      </c>
      <c r="C33" s="0" t="n">
        <f aca="false">SQRT(B33)</f>
        <v>4.58257569495584</v>
      </c>
      <c r="D33" s="0" t="n">
        <f aca="false">C33/B33</f>
        <v>0.218217890235992</v>
      </c>
    </row>
    <row r="34" customFormat="false" ht="14.25" hidden="false" customHeight="false" outlineLevel="0" collapsed="false">
      <c r="B34" s="0" t="n">
        <f aca="false">B33+1</f>
        <v>22</v>
      </c>
      <c r="C34" s="0" t="n">
        <f aca="false">SQRT(B34)</f>
        <v>4.69041575982343</v>
      </c>
      <c r="D34" s="0" t="n">
        <f aca="false">C34/B34</f>
        <v>0.21320071635561</v>
      </c>
    </row>
    <row r="35" customFormat="false" ht="14.25" hidden="false" customHeight="false" outlineLevel="0" collapsed="false">
      <c r="B35" s="0" t="n">
        <f aca="false">B34+1</f>
        <v>23</v>
      </c>
      <c r="C35" s="0" t="n">
        <f aca="false">SQRT(B35)</f>
        <v>4.79583152331272</v>
      </c>
      <c r="D35" s="0" t="n">
        <f aca="false">C35/B35</f>
        <v>0.208514414057075</v>
      </c>
    </row>
    <row r="36" customFormat="false" ht="14.25" hidden="false" customHeight="false" outlineLevel="0" collapsed="false">
      <c r="B36" s="0" t="n">
        <f aca="false">B35+1</f>
        <v>24</v>
      </c>
      <c r="C36" s="0" t="n">
        <f aca="false">SQRT(B36)</f>
        <v>4.89897948556636</v>
      </c>
      <c r="D36" s="0" t="n">
        <f aca="false">C36/B36</f>
        <v>0.204124145231931</v>
      </c>
      <c r="F36" s="0" t="n">
        <v>4</v>
      </c>
      <c r="G36" s="0" t="n">
        <f aca="false">SQRT(F36)</f>
        <v>2</v>
      </c>
    </row>
    <row r="37" customFormat="false" ht="14.25" hidden="false" customHeight="false" outlineLevel="0" collapsed="false">
      <c r="B37" s="0" t="n">
        <f aca="false">B36+1</f>
        <v>25</v>
      </c>
      <c r="C37" s="0" t="n">
        <f aca="false">SQRT(B37)</f>
        <v>5</v>
      </c>
      <c r="D37" s="0" t="n">
        <f aca="false">C37/B37</f>
        <v>0.2</v>
      </c>
      <c r="F37" s="0" t="n">
        <v>5</v>
      </c>
      <c r="G37" s="0" t="n">
        <f aca="false">SQRT(F37)</f>
        <v>2.23606797749979</v>
      </c>
      <c r="I37" s="0" t="n">
        <f aca="false">F37/F36</f>
        <v>1.25</v>
      </c>
      <c r="J37" s="0" t="n">
        <f aca="false">G37/G36</f>
        <v>1.1180339887499</v>
      </c>
    </row>
    <row r="38" customFormat="false" ht="14.25" hidden="false" customHeight="false" outlineLevel="0" collapsed="false">
      <c r="B38" s="0" t="n">
        <f aca="false">B37+1</f>
        <v>26</v>
      </c>
      <c r="C38" s="0" t="n">
        <f aca="false">SQRT(B38)</f>
        <v>5.09901951359278</v>
      </c>
      <c r="D38" s="0" t="n">
        <f aca="false">C38/B38</f>
        <v>0.196116135138184</v>
      </c>
      <c r="F38" s="0" t="n">
        <f aca="false">F36/F37</f>
        <v>0.8</v>
      </c>
      <c r="J38" s="21" t="b">
        <f aca="false">J37=J39</f>
        <v>1</v>
      </c>
    </row>
    <row r="39" customFormat="false" ht="14.25" hidden="false" customHeight="false" outlineLevel="0" collapsed="false">
      <c r="B39" s="0" t="n">
        <f aca="false">B38+1</f>
        <v>27</v>
      </c>
      <c r="C39" s="0" t="n">
        <f aca="false">SQRT(B39)</f>
        <v>5.19615242270663</v>
      </c>
      <c r="D39" s="0" t="n">
        <f aca="false">C39/B39</f>
        <v>0.192450089729875</v>
      </c>
      <c r="F39" s="0" t="n">
        <f aca="false">SQRT(F38)</f>
        <v>0.894427190999916</v>
      </c>
      <c r="G39" s="0" t="n">
        <f aca="false">G36/G37</f>
        <v>0.894427190999916</v>
      </c>
      <c r="H39" s="21" t="b">
        <f aca="false">G39=F39</f>
        <v>1</v>
      </c>
      <c r="I39" s="0" t="n">
        <v>1</v>
      </c>
      <c r="J39" s="10" t="n">
        <f aca="false">I39/G39</f>
        <v>1.1180339887499</v>
      </c>
    </row>
    <row r="40" customFormat="false" ht="14.25" hidden="false" customHeight="false" outlineLevel="0" collapsed="false">
      <c r="B40" s="0" t="n">
        <f aca="false">B39+1</f>
        <v>28</v>
      </c>
      <c r="C40" s="0" t="n">
        <f aca="false">SQRT(B40)</f>
        <v>5.29150262212918</v>
      </c>
      <c r="D40" s="0" t="n">
        <f aca="false">C40/B40</f>
        <v>0.188982236504614</v>
      </c>
      <c r="F40" s="0" t="n">
        <v>2</v>
      </c>
    </row>
    <row r="41" customFormat="false" ht="14.25" hidden="false" customHeight="false" outlineLevel="0" collapsed="false">
      <c r="B41" s="0" t="n">
        <f aca="false">B40+1</f>
        <v>29</v>
      </c>
      <c r="C41" s="0" t="n">
        <f aca="false">SQRT(B41)</f>
        <v>5.3851648071345</v>
      </c>
      <c r="D41" s="0" t="n">
        <f aca="false">C41/B41</f>
        <v>0.185695338177052</v>
      </c>
      <c r="F41" s="0" t="n">
        <f aca="false">F40*F39</f>
        <v>1.78885438199983</v>
      </c>
      <c r="G41" s="0" t="n">
        <v>1</v>
      </c>
      <c r="H41" s="0" t="n">
        <f aca="false">G41/F41</f>
        <v>0.559016994374948</v>
      </c>
      <c r="I41" s="0" t="n">
        <v>2</v>
      </c>
      <c r="J41" s="0" t="n">
        <f aca="false">I41*H41</f>
        <v>1.1180339887499</v>
      </c>
      <c r="K41" s="0" t="n">
        <v>5</v>
      </c>
      <c r="L41" s="0" t="n">
        <f aca="false">J41/K41</f>
        <v>0.223606797749979</v>
      </c>
    </row>
    <row r="42" customFormat="false" ht="14.25" hidden="false" customHeight="false" outlineLevel="0" collapsed="false">
      <c r="B42" s="0" t="n">
        <f aca="false">B41+1</f>
        <v>30</v>
      </c>
      <c r="C42" s="0" t="n">
        <f aca="false">SQRT(B42)</f>
        <v>5.47722557505166</v>
      </c>
      <c r="D42" s="0" t="n">
        <f aca="false">C42/B42</f>
        <v>0.182574185835055</v>
      </c>
      <c r="F42" s="0" t="n">
        <f aca="false">F38*F41</f>
        <v>1.43108350559987</v>
      </c>
      <c r="H42" s="0" t="n">
        <f aca="false">H41*I53</f>
        <v>0.11180339887499</v>
      </c>
    </row>
    <row r="43" customFormat="false" ht="14.25" hidden="false" customHeight="false" outlineLevel="0" collapsed="false">
      <c r="B43" s="0" t="n">
        <f aca="false">B42+1</f>
        <v>31</v>
      </c>
      <c r="C43" s="0" t="n">
        <f aca="false">SQRT(B43)</f>
        <v>5.56776436283002</v>
      </c>
      <c r="D43" s="0" t="n">
        <f aca="false">C43/B43</f>
        <v>0.179605302026775</v>
      </c>
    </row>
    <row r="44" customFormat="false" ht="14.25" hidden="false" customHeight="false" outlineLevel="0" collapsed="false">
      <c r="B44" s="0" t="n">
        <f aca="false">B43+1</f>
        <v>32</v>
      </c>
      <c r="C44" s="0" t="n">
        <f aca="false">SQRT(B44)</f>
        <v>5.65685424949238</v>
      </c>
      <c r="D44" s="0" t="n">
        <f aca="false">C44/B44</f>
        <v>0.176776695296637</v>
      </c>
      <c r="F44" s="0" t="n">
        <v>5</v>
      </c>
      <c r="H44" s="0" t="n">
        <v>2</v>
      </c>
      <c r="O44" s="0" t="s">
        <v>99</v>
      </c>
    </row>
    <row r="45" customFormat="false" ht="14.25" hidden="false" customHeight="false" outlineLevel="0" collapsed="false">
      <c r="B45" s="0" t="n">
        <f aca="false">B44+1</f>
        <v>33</v>
      </c>
      <c r="C45" s="0" t="n">
        <f aca="false">SQRT(B45)</f>
        <v>5.74456264653803</v>
      </c>
      <c r="D45" s="0" t="n">
        <f aca="false">C45/B45</f>
        <v>0.174077655955698</v>
      </c>
      <c r="F45" s="22" t="n">
        <f aca="false">SQRT(F44)/F44</f>
        <v>0.447213595499958</v>
      </c>
      <c r="G45" s="21" t="b">
        <f aca="false">F45=O45</f>
        <v>1</v>
      </c>
      <c r="H45" s="0" t="n">
        <v>5</v>
      </c>
      <c r="I45" s="10" t="n">
        <f aca="false">H44/H45</f>
        <v>0.4</v>
      </c>
      <c r="K45" s="0" t="n">
        <v>1</v>
      </c>
      <c r="L45" s="0" t="n">
        <v>2</v>
      </c>
      <c r="M45" s="10" t="n">
        <f aca="false">L45*F39</f>
        <v>1.78885438199983</v>
      </c>
      <c r="N45" s="10" t="n">
        <f aca="false">K45/M45</f>
        <v>0.559016994374948</v>
      </c>
      <c r="O45" s="22" t="n">
        <f aca="false">N45*F38</f>
        <v>0.447213595499958</v>
      </c>
    </row>
    <row r="46" customFormat="false" ht="14.25" hidden="false" customHeight="false" outlineLevel="0" collapsed="false">
      <c r="B46" s="0" t="n">
        <f aca="false">B45+1</f>
        <v>34</v>
      </c>
      <c r="C46" s="0" t="n">
        <f aca="false">SQRT(B46)</f>
        <v>5.8309518948453</v>
      </c>
      <c r="D46" s="0" t="n">
        <f aca="false">C46/B46</f>
        <v>0.171498585142509</v>
      </c>
    </row>
    <row r="47" customFormat="false" ht="14.25" hidden="false" customHeight="false" outlineLevel="0" collapsed="false">
      <c r="B47" s="0" t="n">
        <f aca="false">B46+1</f>
        <v>35</v>
      </c>
      <c r="C47" s="0" t="n">
        <f aca="false">SQRT(B47)</f>
        <v>5.91607978309962</v>
      </c>
      <c r="D47" s="0" t="n">
        <f aca="false">C47/B47</f>
        <v>0.169030850945703</v>
      </c>
      <c r="F47" s="0" t="n">
        <v>5</v>
      </c>
    </row>
    <row r="48" customFormat="false" ht="14.25" hidden="false" customHeight="false" outlineLevel="0" collapsed="false">
      <c r="B48" s="0" t="n">
        <f aca="false">B47+1</f>
        <v>36</v>
      </c>
      <c r="C48" s="0" t="n">
        <f aca="false">SQRT(B48)</f>
        <v>6</v>
      </c>
      <c r="D48" s="0" t="n">
        <f aca="false">C48/B48</f>
        <v>0.166666666666667</v>
      </c>
      <c r="F48" s="0" t="n">
        <f aca="false">SQRT(F47)</f>
        <v>2.23606797749979</v>
      </c>
      <c r="H48" s="0" t="n">
        <v>4</v>
      </c>
    </row>
    <row r="49" customFormat="false" ht="14.25" hidden="false" customHeight="false" outlineLevel="0" collapsed="false">
      <c r="B49" s="0" t="n">
        <f aca="false">B48+1</f>
        <v>37</v>
      </c>
      <c r="C49" s="0" t="n">
        <f aca="false">SQRT(B49)</f>
        <v>6.08276253029822</v>
      </c>
      <c r="D49" s="0" t="n">
        <f aca="false">C49/B49</f>
        <v>0.164398987305357</v>
      </c>
      <c r="F49" s="0" t="n">
        <v>4</v>
      </c>
      <c r="H49" s="0" t="n">
        <v>5</v>
      </c>
    </row>
    <row r="50" customFormat="false" ht="14.25" hidden="false" customHeight="false" outlineLevel="0" collapsed="false">
      <c r="B50" s="0" t="n">
        <f aca="false">B49+1</f>
        <v>38</v>
      </c>
      <c r="C50" s="0" t="n">
        <f aca="false">SQRT(B50)</f>
        <v>6.16441400296898</v>
      </c>
      <c r="D50" s="0" t="n">
        <f aca="false">C50/B50</f>
        <v>0.162221421130763</v>
      </c>
      <c r="F50" s="0" t="n">
        <f aca="false">SQRT(F49)</f>
        <v>2</v>
      </c>
    </row>
    <row r="51" customFormat="false" ht="14.25" hidden="false" customHeight="false" outlineLevel="0" collapsed="false">
      <c r="B51" s="0" t="n">
        <f aca="false">B50+1</f>
        <v>39</v>
      </c>
      <c r="C51" s="0" t="n">
        <f aca="false">SQRT(B51)</f>
        <v>6.2449979983984</v>
      </c>
      <c r="D51" s="0" t="n">
        <f aca="false">C51/B51</f>
        <v>0.160128153805087</v>
      </c>
      <c r="F51" s="0" t="n">
        <f aca="false">F48/F50</f>
        <v>1.1180339887499</v>
      </c>
    </row>
    <row r="52" customFormat="false" ht="14.25" hidden="false" customHeight="false" outlineLevel="0" collapsed="false">
      <c r="B52" s="0" t="n">
        <f aca="false">B51+1</f>
        <v>40</v>
      </c>
      <c r="C52" s="0" t="n">
        <f aca="false">SQRT(B52)</f>
        <v>6.32455532033676</v>
      </c>
      <c r="D52" s="0" t="n">
        <f aca="false">C52/B52</f>
        <v>0.158113883008419</v>
      </c>
      <c r="H52" s="0" t="n">
        <v>1</v>
      </c>
    </row>
    <row r="53" customFormat="false" ht="14.25" hidden="false" customHeight="false" outlineLevel="0" collapsed="false">
      <c r="B53" s="0" t="n">
        <f aca="false">B52+1</f>
        <v>41</v>
      </c>
      <c r="C53" s="0" t="n">
        <f aca="false">SQRT(B53)</f>
        <v>6.40312423743285</v>
      </c>
      <c r="D53" s="0" t="n">
        <f aca="false">C53/B53</f>
        <v>0.156173761888606</v>
      </c>
      <c r="H53" s="0" t="n">
        <v>5</v>
      </c>
      <c r="I53" s="0" t="n">
        <f aca="false">H52/H53</f>
        <v>0.2</v>
      </c>
      <c r="J53" s="23" t="n">
        <f aca="false">I53*H41</f>
        <v>0.11180339887499</v>
      </c>
    </row>
    <row r="54" customFormat="false" ht="14.25" hidden="false" customHeight="false" outlineLevel="0" collapsed="false">
      <c r="B54" s="0" t="n">
        <f aca="false">B53+1</f>
        <v>42</v>
      </c>
      <c r="C54" s="0" t="n">
        <f aca="false">SQRT(B54)</f>
        <v>6.48074069840786</v>
      </c>
      <c r="D54" s="0" t="n">
        <f aca="false">C54/B54</f>
        <v>0.154303349962092</v>
      </c>
      <c r="F54" s="0" t="n">
        <v>500</v>
      </c>
    </row>
    <row r="55" customFormat="false" ht="14.25" hidden="false" customHeight="false" outlineLevel="0" collapsed="false">
      <c r="B55" s="0" t="n">
        <f aca="false">B54+1</f>
        <v>43</v>
      </c>
      <c r="C55" s="0" t="n">
        <f aca="false">SQRT(B55)</f>
        <v>6.557438524302</v>
      </c>
      <c r="D55" s="0" t="n">
        <f aca="false">C55/B55</f>
        <v>0.152498570332605</v>
      </c>
      <c r="F55" s="0" t="n">
        <f aca="false">SQRT(F54)</f>
        <v>22.3606797749979</v>
      </c>
    </row>
    <row r="56" customFormat="false" ht="14.25" hidden="false" customHeight="false" outlineLevel="0" collapsed="false">
      <c r="B56" s="0" t="n">
        <f aca="false">B55+1</f>
        <v>44</v>
      </c>
      <c r="C56" s="0" t="n">
        <f aca="false">SQRT(B56)</f>
        <v>6.6332495807108</v>
      </c>
      <c r="D56" s="0" t="n">
        <f aca="false">C56/B56</f>
        <v>0.150755672288882</v>
      </c>
      <c r="F56" s="0" t="n">
        <v>400</v>
      </c>
    </row>
    <row r="57" customFormat="false" ht="14.25" hidden="false" customHeight="false" outlineLevel="0" collapsed="false">
      <c r="B57" s="0" t="n">
        <f aca="false">B56+1</f>
        <v>45</v>
      </c>
      <c r="C57" s="0" t="n">
        <f aca="false">SQRT(B57)</f>
        <v>6.70820393249937</v>
      </c>
      <c r="D57" s="0" t="n">
        <f aca="false">C57/B57</f>
        <v>0.149071198499986</v>
      </c>
      <c r="F57" s="0" t="n">
        <f aca="false">SQRT(F56)</f>
        <v>20</v>
      </c>
    </row>
    <row r="58" customFormat="false" ht="14.25" hidden="false" customHeight="false" outlineLevel="0" collapsed="false">
      <c r="B58" s="0" t="n">
        <f aca="false">B57+1</f>
        <v>46</v>
      </c>
      <c r="C58" s="0" t="n">
        <f aca="false">SQRT(B58)</f>
        <v>6.78232998312527</v>
      </c>
      <c r="D58" s="0" t="n">
        <f aca="false">C58/B58</f>
        <v>0.147441956154897</v>
      </c>
    </row>
    <row r="60" customFormat="false" ht="14.25" hidden="false" customHeight="false" outlineLevel="0" collapsed="false">
      <c r="F60" s="0" t="n">
        <v>8</v>
      </c>
    </row>
    <row r="61" customFormat="false" ht="14.25" hidden="false" customHeight="false" outlineLevel="0" collapsed="false">
      <c r="F61" s="0" t="n">
        <f aca="false">SQRT(F60)</f>
        <v>2.82842712474619</v>
      </c>
    </row>
    <row r="66" customFormat="false" ht="14.25" hidden="false" customHeight="false" outlineLevel="0" collapsed="false">
      <c r="G66" s="0" t="n">
        <v>4</v>
      </c>
    </row>
    <row r="67" customFormat="false" ht="14.25" hidden="false" customHeight="false" outlineLevel="0" collapsed="false">
      <c r="G67" s="0" t="n">
        <v>5</v>
      </c>
    </row>
    <row r="68" customFormat="false" ht="14.25" hidden="false" customHeight="false" outlineLevel="0" collapsed="false">
      <c r="F68" s="0" t="n">
        <v>2</v>
      </c>
      <c r="G68" s="0" t="n">
        <f aca="false">F68*SQRT(G66/G67)</f>
        <v>1.78885438199983</v>
      </c>
      <c r="H68" s="0" t="n">
        <v>1</v>
      </c>
      <c r="I68" s="0" t="n">
        <v>5</v>
      </c>
    </row>
    <row r="69" customFormat="false" ht="14.25" hidden="false" customHeight="false" outlineLevel="0" collapsed="false">
      <c r="H69" s="0" t="n">
        <f aca="false">H68/G68</f>
        <v>0.559016994374948</v>
      </c>
      <c r="I69" s="0" t="n">
        <f aca="false">H69*J69</f>
        <v>0.11180339887499</v>
      </c>
      <c r="J69" s="0" t="n">
        <f aca="false">H68/I68</f>
        <v>0.2</v>
      </c>
    </row>
    <row r="71" customFormat="false" ht="14.25" hidden="false" customHeight="false" outlineLevel="0" collapsed="false">
      <c r="F71" s="0" t="n">
        <v>80</v>
      </c>
    </row>
    <row r="72" customFormat="false" ht="14.25" hidden="false" customHeight="false" outlineLevel="0" collapsed="false">
      <c r="F72" s="0" t="n">
        <f aca="false">SQRT(F71)</f>
        <v>8.94427190999916</v>
      </c>
      <c r="G72" s="0" t="n">
        <v>1</v>
      </c>
      <c r="H72" s="0" t="n">
        <f aca="false">G72/F72</f>
        <v>0.111803398874989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77" activeCellId="0" sqref="J77"/>
    </sheetView>
  </sheetViews>
  <sheetFormatPr defaultColWidth="8.59765625" defaultRowHeight="14.25" zeroHeight="false" outlineLevelRow="0" outlineLevelCol="0"/>
  <sheetData>
    <row r="2" customFormat="false" ht="14.25" hidden="false" customHeight="false" outlineLevel="0" collapsed="false">
      <c r="K2" s="0" t="n">
        <v>4</v>
      </c>
    </row>
    <row r="3" customFormat="false" ht="14.25" hidden="false" customHeight="false" outlineLevel="0" collapsed="false">
      <c r="K3" s="0" t="n">
        <v>5</v>
      </c>
    </row>
    <row r="4" customFormat="false" ht="14.25" hidden="false" customHeight="false" outlineLevel="0" collapsed="false">
      <c r="K4" s="0" t="n">
        <f aca="false">K2/K3</f>
        <v>0.8</v>
      </c>
    </row>
    <row r="5" customFormat="false" ht="14.25" hidden="false" customHeight="false" outlineLevel="0" collapsed="false">
      <c r="J5" s="0" t="n">
        <v>2</v>
      </c>
      <c r="K5" s="0" t="n">
        <f aca="false">SQRT(K4)</f>
        <v>0.894427190999916</v>
      </c>
    </row>
    <row r="6" customFormat="false" ht="14.25" hidden="false" customHeight="false" outlineLevel="0" collapsed="false">
      <c r="J6" s="0" t="n">
        <v>1</v>
      </c>
      <c r="K6" s="0" t="n">
        <f aca="false">K5*J5</f>
        <v>1.78885438199983</v>
      </c>
    </row>
    <row r="7" customFormat="false" ht="14.25" hidden="false" customHeight="false" outlineLevel="0" collapsed="false">
      <c r="E7" s="0" t="n">
        <v>1</v>
      </c>
      <c r="J7" s="0" t="n">
        <f aca="false">K4</f>
        <v>0.8</v>
      </c>
      <c r="K7" s="0" t="n">
        <f aca="false">J6/K6</f>
        <v>0.559016994374948</v>
      </c>
      <c r="Q7" s="0" t="n">
        <v>1</v>
      </c>
    </row>
    <row r="8" customFormat="false" ht="14.25" hidden="false" customHeight="false" outlineLevel="0" collapsed="false">
      <c r="E8" s="0" t="n">
        <v>1804</v>
      </c>
      <c r="K8" s="0" t="n">
        <f aca="false">K7*J7</f>
        <v>0.447213595499958</v>
      </c>
      <c r="Q8" s="0" t="n">
        <v>117</v>
      </c>
    </row>
    <row r="9" customFormat="false" ht="14.25" hidden="false" customHeight="false" outlineLevel="0" collapsed="false">
      <c r="B9" s="0" t="str">
        <f aca="false">C17</f>
        <v>x_1</v>
      </c>
      <c r="E9" s="0" t="n">
        <v>1805</v>
      </c>
      <c r="F9" s="0" t="str">
        <f aca="false">D17</f>
        <v>x_2</v>
      </c>
      <c r="I9" s="0" t="str">
        <f aca="false">E17</f>
        <v>x_3</v>
      </c>
      <c r="L9" s="0" t="str">
        <f aca="false">F17</f>
        <v>x_4</v>
      </c>
      <c r="O9" s="0" t="str">
        <f aca="false">G17</f>
        <v>x_5</v>
      </c>
      <c r="Q9" s="0" t="n">
        <v>13730</v>
      </c>
      <c r="R9" s="0" t="str">
        <f aca="false">H17</f>
        <v>y</v>
      </c>
    </row>
    <row r="10" customFormat="false" ht="14.25" hidden="false" customHeight="false" outlineLevel="0" collapsed="false">
      <c r="E10" s="0" t="n">
        <f aca="false">SQRT(E8/E9)</f>
        <v>0.999722953312317</v>
      </c>
      <c r="K10" s="0" t="n">
        <v>1</v>
      </c>
      <c r="N10" s="0" t="n">
        <v>1</v>
      </c>
      <c r="Q10" s="0" t="n">
        <v>13689</v>
      </c>
    </row>
    <row r="11" customFormat="false" ht="14.25" hidden="false" customHeight="false" outlineLevel="0" collapsed="false">
      <c r="A11" s="0" t="n">
        <v>1</v>
      </c>
      <c r="B11" s="11" t="n">
        <v>1</v>
      </c>
      <c r="C11" s="24" t="n">
        <f aca="false">B11*A$13</f>
        <v>0.5</v>
      </c>
      <c r="E11" s="0" t="n">
        <v>95</v>
      </c>
      <c r="F11" s="11" t="n">
        <v>29</v>
      </c>
      <c r="G11" s="24" t="n">
        <f aca="false">F11*E$13</f>
        <v>0.305347753478429</v>
      </c>
      <c r="H11" s="0" t="n">
        <v>1</v>
      </c>
      <c r="I11" s="11" t="n">
        <v>1</v>
      </c>
      <c r="J11" s="24" t="n">
        <f aca="false">I11*H$13</f>
        <v>0.5</v>
      </c>
      <c r="K11" s="0" t="n">
        <v>20</v>
      </c>
      <c r="L11" s="11" t="n">
        <v>-1</v>
      </c>
      <c r="M11" s="24" t="n">
        <f aca="false">L11*K$13</f>
        <v>-0.223606797749979</v>
      </c>
      <c r="N11" s="0" t="n">
        <v>80</v>
      </c>
      <c r="O11" s="11" t="n">
        <v>1</v>
      </c>
      <c r="P11" s="24" t="n">
        <f aca="false">O11*N$13</f>
        <v>0.111803398874989</v>
      </c>
      <c r="Q11" s="10" t="n">
        <f aca="false">SQRT(Q9/Q10)</f>
        <v>1.00149643312356</v>
      </c>
      <c r="R11" s="11" t="n">
        <v>-12</v>
      </c>
      <c r="S11" s="24" t="n">
        <f aca="false">R11*Q$13</f>
        <v>-0.102410851573596</v>
      </c>
    </row>
    <row r="12" customFormat="false" ht="14.25" hidden="false" customHeight="false" outlineLevel="0" collapsed="false">
      <c r="A12" s="0" t="n">
        <v>2</v>
      </c>
      <c r="B12" s="11" t="n">
        <v>-1</v>
      </c>
      <c r="C12" s="24" t="n">
        <f aca="false">B12*A$13</f>
        <v>-0.5</v>
      </c>
      <c r="E12" s="10" t="n">
        <f aca="false">E11*E10</f>
        <v>94.9736805646701</v>
      </c>
      <c r="F12" s="11" t="n">
        <v>-76</v>
      </c>
      <c r="G12" s="24" t="n">
        <f aca="false">F12*E$13</f>
        <v>-0.800221698771057</v>
      </c>
      <c r="H12" s="0" t="n">
        <v>2</v>
      </c>
      <c r="I12" s="11" t="n">
        <v>-1</v>
      </c>
      <c r="J12" s="24" t="n">
        <f aca="false">I12*H$13</f>
        <v>-0.5</v>
      </c>
      <c r="K12" s="10" t="n">
        <f aca="false">SQRT(K11)</f>
        <v>4.47213595499958</v>
      </c>
      <c r="L12" s="11" t="n">
        <v>-1</v>
      </c>
      <c r="M12" s="24" t="n">
        <f aca="false">L12*K$13</f>
        <v>-0.223606797749979</v>
      </c>
      <c r="N12" s="10" t="n">
        <f aca="false">SQRT(N11)</f>
        <v>8.94427190999916</v>
      </c>
      <c r="O12" s="11" t="n">
        <v>1</v>
      </c>
      <c r="P12" s="24" t="n">
        <f aca="false">O12*N$13</f>
        <v>0.111803398874989</v>
      </c>
      <c r="Q12" s="10" t="n">
        <f aca="false">Q11*Q8</f>
        <v>117.175082675456</v>
      </c>
      <c r="R12" s="11" t="n">
        <v>-42</v>
      </c>
      <c r="S12" s="24" t="n">
        <f aca="false">R12*Q$13</f>
        <v>-0.358437980507586</v>
      </c>
    </row>
    <row r="13" customFormat="false" ht="14.25" hidden="false" customHeight="false" outlineLevel="0" collapsed="false">
      <c r="A13" s="22" t="n">
        <f aca="false">A11/A12</f>
        <v>0.5</v>
      </c>
      <c r="B13" s="11" t="n">
        <v>0</v>
      </c>
      <c r="C13" s="24" t="n">
        <f aca="false">B13*A$13</f>
        <v>0</v>
      </c>
      <c r="E13" s="22" t="n">
        <f aca="false">E7/E12</f>
        <v>0.0105292328785665</v>
      </c>
      <c r="F13" s="11" t="n">
        <v>-1</v>
      </c>
      <c r="G13" s="24" t="n">
        <f aca="false">F13*E$13</f>
        <v>-0.0105292328785665</v>
      </c>
      <c r="H13" s="22" t="n">
        <f aca="false">H11/H12</f>
        <v>0.5</v>
      </c>
      <c r="I13" s="11" t="n">
        <v>0</v>
      </c>
      <c r="J13" s="24" t="n">
        <f aca="false">I13*H$13</f>
        <v>0</v>
      </c>
      <c r="K13" s="22" t="n">
        <f aca="false">K10/K12</f>
        <v>0.223606797749979</v>
      </c>
      <c r="L13" s="11" t="n">
        <v>-1</v>
      </c>
      <c r="M13" s="24" t="n">
        <f aca="false">L13*K$13</f>
        <v>-0.223606797749979</v>
      </c>
      <c r="N13" s="22" t="n">
        <f aca="false">N10/N12</f>
        <v>0.111803398874989</v>
      </c>
      <c r="O13" s="11" t="n">
        <v>1</v>
      </c>
      <c r="P13" s="24" t="n">
        <f aca="false">O13*N$13</f>
        <v>0.111803398874989</v>
      </c>
      <c r="Q13" s="22" t="n">
        <f aca="false">Q7/Q12</f>
        <v>0.00853423763113301</v>
      </c>
      <c r="R13" s="11" t="n">
        <v>-27</v>
      </c>
      <c r="S13" s="24" t="n">
        <f aca="false">R13*Q$13</f>
        <v>-0.230424416040591</v>
      </c>
    </row>
    <row r="14" customFormat="false" ht="14.25" hidden="false" customHeight="false" outlineLevel="0" collapsed="false">
      <c r="B14" s="11" t="n">
        <v>1</v>
      </c>
      <c r="C14" s="24" t="n">
        <f aca="false">B14*A$13</f>
        <v>0.5</v>
      </c>
      <c r="F14" s="11" t="n">
        <v>49</v>
      </c>
      <c r="G14" s="24" t="n">
        <f aca="false">F14*E$13</f>
        <v>0.51593241104976</v>
      </c>
      <c r="I14" s="11" t="n">
        <v>-1</v>
      </c>
      <c r="J14" s="24" t="n">
        <f aca="false">I14*H$13</f>
        <v>-0.5</v>
      </c>
      <c r="L14" s="11" t="n">
        <v>-1</v>
      </c>
      <c r="M14" s="24" t="n">
        <f aca="false">L14*K$13</f>
        <v>-0.223606797749979</v>
      </c>
      <c r="O14" s="11" t="n">
        <v>1</v>
      </c>
      <c r="P14" s="24" t="n">
        <f aca="false">O14*N$13</f>
        <v>0.111803398874989</v>
      </c>
      <c r="R14" s="11" t="n">
        <v>-22</v>
      </c>
      <c r="S14" s="24" t="n">
        <f aca="false">R14*Q$13</f>
        <v>-0.187753227884926</v>
      </c>
    </row>
    <row r="15" customFormat="false" ht="14.25" hidden="false" customHeight="false" outlineLevel="0" collapsed="false">
      <c r="B15" s="11" t="n">
        <v>-1</v>
      </c>
      <c r="C15" s="24" t="n">
        <f aca="false">B15*A$13</f>
        <v>-0.5</v>
      </c>
      <c r="F15" s="11" t="n">
        <v>-1</v>
      </c>
      <c r="G15" s="24" t="n">
        <f aca="false">F15*E$13</f>
        <v>-0.0105292328785665</v>
      </c>
      <c r="I15" s="11" t="n">
        <v>1</v>
      </c>
      <c r="J15" s="24" t="n">
        <f aca="false">I15*H$13</f>
        <v>0.5</v>
      </c>
      <c r="L15" s="11" t="n">
        <v>4</v>
      </c>
      <c r="M15" s="24" t="n">
        <f aca="false">L15*K$13</f>
        <v>0.894427190999916</v>
      </c>
      <c r="O15" s="11" t="n">
        <v>-4</v>
      </c>
      <c r="P15" s="24" t="n">
        <f aca="false">O15*N$13</f>
        <v>-0.447213595499958</v>
      </c>
      <c r="R15" s="11" t="n">
        <v>103</v>
      </c>
      <c r="S15" s="24" t="n">
        <f aca="false">R15*Q$13</f>
        <v>0.8790264760067</v>
      </c>
    </row>
    <row r="17" customFormat="false" ht="14.25" hidden="false" customHeight="false" outlineLevel="0" collapsed="false">
      <c r="C17" s="0" t="s">
        <v>100</v>
      </c>
      <c r="D17" s="0" t="s">
        <v>101</v>
      </c>
      <c r="E17" s="0" t="s">
        <v>102</v>
      </c>
      <c r="F17" s="0" t="s">
        <v>103</v>
      </c>
      <c r="G17" s="0" t="s">
        <v>104</v>
      </c>
      <c r="H17" s="0" t="s">
        <v>105</v>
      </c>
    </row>
    <row r="19" customFormat="false" ht="14.25" hidden="false" customHeight="false" outlineLevel="0" collapsed="false">
      <c r="C19" s="25" t="n">
        <f aca="false">C11</f>
        <v>0.5</v>
      </c>
      <c r="D19" s="25" t="n">
        <f aca="false">G11</f>
        <v>0.305347753478429</v>
      </c>
      <c r="E19" s="25" t="n">
        <f aca="false">J11</f>
        <v>0.5</v>
      </c>
      <c r="F19" s="25" t="n">
        <f aca="false">M11</f>
        <v>-0.223606797749979</v>
      </c>
      <c r="G19" s="25" t="n">
        <f aca="false">P11</f>
        <v>0.111803398874989</v>
      </c>
      <c r="H19" s="25" t="n">
        <f aca="false">S11</f>
        <v>-0.102410851573596</v>
      </c>
    </row>
    <row r="20" customFormat="false" ht="14.25" hidden="false" customHeight="false" outlineLevel="0" collapsed="false">
      <c r="C20" s="25" t="n">
        <f aca="false">C12</f>
        <v>-0.5</v>
      </c>
      <c r="D20" s="25" t="n">
        <f aca="false">G12</f>
        <v>-0.800221698771057</v>
      </c>
      <c r="E20" s="25" t="n">
        <f aca="false">J12</f>
        <v>-0.5</v>
      </c>
      <c r="F20" s="25" t="n">
        <f aca="false">M12</f>
        <v>-0.223606797749979</v>
      </c>
      <c r="G20" s="25" t="n">
        <f aca="false">P12</f>
        <v>0.111803398874989</v>
      </c>
      <c r="H20" s="25" t="n">
        <f aca="false">S12</f>
        <v>-0.358437980507586</v>
      </c>
    </row>
    <row r="21" customFormat="false" ht="14.25" hidden="false" customHeight="false" outlineLevel="0" collapsed="false">
      <c r="C21" s="25" t="n">
        <f aca="false">C13</f>
        <v>0</v>
      </c>
      <c r="D21" s="25" t="n">
        <f aca="false">G13</f>
        <v>-0.0105292328785665</v>
      </c>
      <c r="E21" s="25" t="n">
        <f aca="false">J13</f>
        <v>0</v>
      </c>
      <c r="F21" s="25" t="n">
        <f aca="false">M13</f>
        <v>-0.223606797749979</v>
      </c>
      <c r="G21" s="25" t="n">
        <f aca="false">P13</f>
        <v>0.111803398874989</v>
      </c>
      <c r="H21" s="25" t="n">
        <f aca="false">S13</f>
        <v>-0.230424416040591</v>
      </c>
    </row>
    <row r="22" customFormat="false" ht="14.25" hidden="false" customHeight="false" outlineLevel="0" collapsed="false">
      <c r="C22" s="25" t="n">
        <f aca="false">C14</f>
        <v>0.5</v>
      </c>
      <c r="D22" s="25" t="n">
        <f aca="false">G14</f>
        <v>0.51593241104976</v>
      </c>
      <c r="E22" s="25" t="n">
        <f aca="false">J14</f>
        <v>-0.5</v>
      </c>
      <c r="F22" s="25" t="n">
        <f aca="false">M14</f>
        <v>-0.223606797749979</v>
      </c>
      <c r="G22" s="25" t="n">
        <f aca="false">P14</f>
        <v>0.111803398874989</v>
      </c>
      <c r="H22" s="25" t="n">
        <f aca="false">S14</f>
        <v>-0.187753227884926</v>
      </c>
    </row>
    <row r="23" customFormat="false" ht="14.25" hidden="false" customHeight="false" outlineLevel="0" collapsed="false">
      <c r="C23" s="25" t="n">
        <f aca="false">C15</f>
        <v>-0.5</v>
      </c>
      <c r="D23" s="25" t="n">
        <f aca="false">G15</f>
        <v>-0.0105292328785665</v>
      </c>
      <c r="E23" s="25" t="n">
        <f aca="false">J15</f>
        <v>0.5</v>
      </c>
      <c r="F23" s="25" t="n">
        <f aca="false">M15</f>
        <v>0.894427190999916</v>
      </c>
      <c r="G23" s="25" t="n">
        <f aca="false">P15</f>
        <v>-0.447213595499958</v>
      </c>
      <c r="H23" s="25" t="n">
        <f aca="false">S15</f>
        <v>0.8790264760067</v>
      </c>
    </row>
    <row r="24" customFormat="false" ht="14.25" hidden="false" customHeight="false" outlineLevel="0" collapsed="false">
      <c r="C24" s="26"/>
      <c r="D24" s="26"/>
      <c r="E24" s="26"/>
      <c r="F24" s="26"/>
      <c r="G24" s="26"/>
      <c r="H24" s="26"/>
      <c r="S24" s="10" t="n">
        <f aca="false">1/5</f>
        <v>0.2</v>
      </c>
      <c r="T24" s="10" t="n">
        <f aca="false">0-S24</f>
        <v>-0.2</v>
      </c>
    </row>
    <row r="25" customFormat="false" ht="14.25" hidden="false" customHeight="false" outlineLevel="0" collapsed="false">
      <c r="C25" s="26" t="n">
        <f aca="false">SUM(C19:C24)</f>
        <v>0</v>
      </c>
      <c r="D25" s="26" t="n">
        <f aca="false">SUM(D19:D24)</f>
        <v>3.81639164714898E-017</v>
      </c>
      <c r="E25" s="26" t="n">
        <f aca="false">SUM(E19:E24)</f>
        <v>0</v>
      </c>
      <c r="F25" s="26" t="n">
        <f aca="false">SUM(F19:F24)</f>
        <v>0</v>
      </c>
      <c r="G25" s="26" t="n">
        <f aca="false">SUM(G19:G24)</f>
        <v>0</v>
      </c>
      <c r="H25" s="26" t="n">
        <f aca="false">SUM(H19:H24)</f>
        <v>0</v>
      </c>
    </row>
    <row r="26" customFormat="false" ht="14.25" hidden="false" customHeight="false" outlineLevel="0" collapsed="false">
      <c r="R26" s="0" t="n">
        <f aca="false">4/5</f>
        <v>0.8</v>
      </c>
    </row>
    <row r="27" customFormat="false" ht="14.25" hidden="false" customHeight="false" outlineLevel="0" collapsed="false">
      <c r="A27" s="27" t="n">
        <v>4</v>
      </c>
      <c r="C27" s="28" t="n">
        <f aca="false">ROUND(C19,$A$27)</f>
        <v>0.5</v>
      </c>
      <c r="D27" s="28" t="n">
        <f aca="false">ROUND(D19,$A$27)</f>
        <v>0.3053</v>
      </c>
      <c r="E27" s="28" t="n">
        <f aca="false">ROUND(E19,$A$27)</f>
        <v>0.5</v>
      </c>
      <c r="F27" s="28" t="n">
        <f aca="false">ROUND(F19,$A$27)</f>
        <v>-0.2236</v>
      </c>
      <c r="G27" s="28" t="n">
        <f aca="false">ROUND(G19,$A$27)</f>
        <v>0.1118</v>
      </c>
      <c r="H27" s="29" t="n">
        <f aca="false">ROUND(H19,$A$27)</f>
        <v>-0.1024</v>
      </c>
      <c r="J27" s="0" t="str">
        <f aca="false">C27&amp;" &amp; "&amp;D27&amp;" &amp; "&amp;E27&amp;" &amp; "&amp;F27&amp;" &amp; "&amp;G27&amp;" &amp; "&amp;H27&amp;" \\"</f>
        <v>0,5 &amp; 0,3053 &amp; 0,5 &amp; -0,2236 &amp; 0,1118 &amp; -0,1024 \\</v>
      </c>
      <c r="R27" s="10" t="n">
        <f aca="false">R26/S24</f>
        <v>4</v>
      </c>
    </row>
    <row r="28" customFormat="false" ht="14.25" hidden="false" customHeight="false" outlineLevel="0" collapsed="false">
      <c r="C28" s="28" t="n">
        <f aca="false">ROUND(C20,$A$27)</f>
        <v>-0.5</v>
      </c>
      <c r="D28" s="28" t="n">
        <f aca="false">ROUND(D20,$A$27)</f>
        <v>-0.8002</v>
      </c>
      <c r="E28" s="28" t="n">
        <f aca="false">ROUND(E20,$A$27)</f>
        <v>-0.5</v>
      </c>
      <c r="F28" s="28" t="n">
        <f aca="false">ROUND(F20,$A$27)</f>
        <v>-0.2236</v>
      </c>
      <c r="G28" s="28" t="n">
        <f aca="false">ROUND(G20,$A$27)</f>
        <v>0.1118</v>
      </c>
      <c r="H28" s="29" t="n">
        <f aca="false">ROUND(H20,$A$27)</f>
        <v>-0.3584</v>
      </c>
      <c r="J28" s="0" t="str">
        <f aca="false">C28&amp;" &amp; "&amp;D28&amp;" &amp; "&amp;E28&amp;" &amp; "&amp;F28&amp;" &amp; "&amp;G28&amp;" &amp; "&amp;H28&amp;" \\"</f>
        <v>-0,5 &amp; -0,8002 &amp; -0,5 &amp; -0,2236 &amp; 0,1118 &amp; -0,3584 \\</v>
      </c>
    </row>
    <row r="29" customFormat="false" ht="14.25" hidden="false" customHeight="false" outlineLevel="0" collapsed="false">
      <c r="C29" s="28" t="n">
        <f aca="false">ROUND(C21,$A$27)</f>
        <v>0</v>
      </c>
      <c r="D29" s="28" t="n">
        <f aca="false">ROUND(D21,$A$27)</f>
        <v>-0.0105</v>
      </c>
      <c r="E29" s="28" t="n">
        <f aca="false">ROUND(E21,$A$27)</f>
        <v>0</v>
      </c>
      <c r="F29" s="28" t="n">
        <f aca="false">ROUND(F21,$A$27)</f>
        <v>-0.2236</v>
      </c>
      <c r="G29" s="28" t="n">
        <f aca="false">ROUND(G21,$A$27)</f>
        <v>0.1118</v>
      </c>
      <c r="H29" s="29" t="n">
        <f aca="false">ROUND(H21,$A$27)</f>
        <v>-0.2304</v>
      </c>
      <c r="J29" s="0" t="str">
        <f aca="false">C29&amp;" &amp; "&amp;D29&amp;" &amp; "&amp;E29&amp;" &amp; "&amp;F29&amp;" &amp; "&amp;G29&amp;" &amp; "&amp;H29&amp;" \\"</f>
        <v>0 &amp; -0,0105 &amp; 0 &amp; -0,2236 &amp; 0,1118 &amp; -0,2304 \\</v>
      </c>
    </row>
    <row r="30" customFormat="false" ht="14.25" hidden="false" customHeight="false" outlineLevel="0" collapsed="false">
      <c r="C30" s="28" t="n">
        <f aca="false">ROUND(C22,$A$27)</f>
        <v>0.5</v>
      </c>
      <c r="D30" s="28" t="n">
        <f aca="false">ROUND(D22,$A$27)</f>
        <v>0.5159</v>
      </c>
      <c r="E30" s="28" t="n">
        <f aca="false">ROUND(E22,$A$27)</f>
        <v>-0.5</v>
      </c>
      <c r="F30" s="28" t="n">
        <f aca="false">ROUND(F22,$A$27)</f>
        <v>-0.2236</v>
      </c>
      <c r="G30" s="28" t="n">
        <f aca="false">ROUND(G22,$A$27)</f>
        <v>0.1118</v>
      </c>
      <c r="H30" s="29" t="n">
        <f aca="false">ROUND(H22,$A$27)</f>
        <v>-0.1878</v>
      </c>
      <c r="J30" s="0" t="str">
        <f aca="false">C30&amp;" &amp; "&amp;D30&amp;" &amp; "&amp;E30&amp;" &amp; "&amp;F30&amp;" &amp; "&amp;G30&amp;" &amp; "&amp;H30&amp;" \\"</f>
        <v>0,5 &amp; 0,5159 &amp; -0,5 &amp; -0,2236 &amp; 0,1118 &amp; -0,1878 \\</v>
      </c>
    </row>
    <row r="31" customFormat="false" ht="14.25" hidden="false" customHeight="false" outlineLevel="0" collapsed="false">
      <c r="C31" s="28" t="n">
        <f aca="false">ROUND(C23,$A$27)</f>
        <v>-0.5</v>
      </c>
      <c r="D31" s="28" t="n">
        <f aca="false">ROUND(D23,$A$27)</f>
        <v>-0.0105</v>
      </c>
      <c r="E31" s="28" t="n">
        <f aca="false">ROUND(E23,$A$27)</f>
        <v>0.5</v>
      </c>
      <c r="F31" s="28" t="n">
        <f aca="false">ROUND(F23,$A$27)</f>
        <v>0.8944</v>
      </c>
      <c r="G31" s="28" t="n">
        <f aca="false">ROUND(G23,$A$27)</f>
        <v>-0.4472</v>
      </c>
      <c r="H31" s="29" t="n">
        <f aca="false">ROUND(H23,$A$27)</f>
        <v>0.879</v>
      </c>
      <c r="J31" s="0" t="str">
        <f aca="false">C31&amp;" &amp; "&amp;D31&amp;" &amp; "&amp;E31&amp;" &amp; "&amp;F31&amp;" &amp; "&amp;G31&amp;" &amp; "&amp;H31&amp;" \\"</f>
        <v>-0,5 &amp; -0,0105 &amp; 0,5 &amp; 0,8944 &amp; -0,4472 &amp; 0,879 \\</v>
      </c>
    </row>
    <row r="33" customFormat="false" ht="14.25" hidden="false" customHeight="false" outlineLevel="0" collapsed="false">
      <c r="C33" s="30" t="n">
        <f aca="false">SUM(C27:C32)</f>
        <v>0</v>
      </c>
      <c r="D33" s="30" t="n">
        <f aca="false">SUM(D27:D32)</f>
        <v>0</v>
      </c>
      <c r="E33" s="30" t="n">
        <f aca="false">SUM(E27:E32)</f>
        <v>0</v>
      </c>
      <c r="F33" s="30" t="n">
        <f aca="false">SUM(F27:F32)</f>
        <v>0</v>
      </c>
      <c r="G33" s="30" t="n">
        <f aca="false">SUM(G27:G32)</f>
        <v>0</v>
      </c>
      <c r="H33" s="30" t="n">
        <f aca="false">SUM(H27:H32)</f>
        <v>0</v>
      </c>
      <c r="Q33" s="0" t="n">
        <v>1</v>
      </c>
      <c r="R33" s="10" t="n">
        <f aca="false">Q33^2</f>
        <v>1</v>
      </c>
      <c r="S33" s="10" t="n">
        <f aca="false">Q33/$R$41</f>
        <v>0.188982236504614</v>
      </c>
      <c r="T33" s="10" t="n">
        <f aca="false">S33^2</f>
        <v>0.0357142857142857</v>
      </c>
    </row>
    <row r="34" customFormat="false" ht="14.25" hidden="false" customHeight="false" outlineLevel="0" collapsed="false">
      <c r="Q34" s="0" t="n">
        <v>2</v>
      </c>
      <c r="R34" s="0" t="n">
        <f aca="false">Q34^2</f>
        <v>4</v>
      </c>
      <c r="S34" s="0" t="n">
        <f aca="false">Q34/$R$41</f>
        <v>0.377964473009227</v>
      </c>
      <c r="T34" s="0" t="n">
        <f aca="false">S34^2</f>
        <v>0.142857142857143</v>
      </c>
    </row>
    <row r="35" customFormat="false" ht="14.25" hidden="false" customHeight="false" outlineLevel="0" collapsed="false">
      <c r="C35" s="31"/>
      <c r="I35" s="32" t="n">
        <v>-0.1024</v>
      </c>
      <c r="J35" s="32" t="n">
        <v>-0.3584</v>
      </c>
      <c r="K35" s="32" t="n">
        <v>-0.2304</v>
      </c>
      <c r="L35" s="32" t="n">
        <v>-0.1878</v>
      </c>
      <c r="M35" s="32" t="n">
        <v>0.879</v>
      </c>
      <c r="Q35" s="0" t="n">
        <v>3</v>
      </c>
      <c r="R35" s="10" t="n">
        <f aca="false">Q35^2</f>
        <v>9</v>
      </c>
      <c r="S35" s="10" t="n">
        <f aca="false">Q35/$R$41</f>
        <v>0.566946709513841</v>
      </c>
      <c r="T35" s="10" t="n">
        <f aca="false">S35^2</f>
        <v>0.321428571428571</v>
      </c>
    </row>
    <row r="36" customFormat="false" ht="14.25" hidden="false" customHeight="false" outlineLevel="0" collapsed="false">
      <c r="C36" s="32" t="n">
        <v>0.5</v>
      </c>
      <c r="D36" s="32" t="n">
        <v>0.3053</v>
      </c>
      <c r="E36" s="32" t="n">
        <v>0.5</v>
      </c>
      <c r="F36" s="32" t="n">
        <v>-0.2236</v>
      </c>
      <c r="G36" s="32" t="n">
        <v>0.1118</v>
      </c>
      <c r="H36" s="32" t="n">
        <v>-0.1024</v>
      </c>
      <c r="I36" s="10" t="n">
        <f aca="false">$C36*I$35</f>
        <v>-0.0512</v>
      </c>
      <c r="Q36" s="0" t="n">
        <v>-1</v>
      </c>
      <c r="R36" s="10" t="n">
        <f aca="false">Q36^2</f>
        <v>1</v>
      </c>
      <c r="S36" s="10" t="n">
        <f aca="false">Q36/$R$41</f>
        <v>-0.188982236504614</v>
      </c>
      <c r="T36" s="10" t="n">
        <f aca="false">S36^2</f>
        <v>0.0357142857142857</v>
      </c>
    </row>
    <row r="37" customFormat="false" ht="14.25" hidden="false" customHeight="false" outlineLevel="0" collapsed="false">
      <c r="C37" s="32" t="n">
        <v>-0.5</v>
      </c>
      <c r="D37" s="32" t="n">
        <v>-0.8002</v>
      </c>
      <c r="E37" s="32" t="n">
        <v>-0.5</v>
      </c>
      <c r="F37" s="32" t="n">
        <v>-0.2236</v>
      </c>
      <c r="G37" s="32" t="n">
        <v>0.1118</v>
      </c>
      <c r="H37" s="32" t="n">
        <v>-0.3584</v>
      </c>
      <c r="J37" s="10" t="n">
        <f aca="false">$C37*J$35</f>
        <v>0.1792</v>
      </c>
      <c r="Q37" s="0" t="n">
        <v>-2</v>
      </c>
      <c r="R37" s="10" t="n">
        <f aca="false">Q37^2</f>
        <v>4</v>
      </c>
      <c r="S37" s="10" t="n">
        <f aca="false">Q37/$R$41</f>
        <v>-0.377964473009227</v>
      </c>
      <c r="T37" s="10" t="n">
        <f aca="false">S37^2</f>
        <v>0.142857142857143</v>
      </c>
    </row>
    <row r="38" customFormat="false" ht="14.25" hidden="false" customHeight="false" outlineLevel="0" collapsed="false">
      <c r="C38" s="32" t="n">
        <v>0</v>
      </c>
      <c r="D38" s="32" t="n">
        <v>-0.0105</v>
      </c>
      <c r="E38" s="32" t="n">
        <v>0</v>
      </c>
      <c r="F38" s="32" t="n">
        <v>-0.2236</v>
      </c>
      <c r="G38" s="32" t="n">
        <v>0.1118</v>
      </c>
      <c r="H38" s="32" t="n">
        <v>-0.2304</v>
      </c>
      <c r="K38" s="10" t="n">
        <f aca="false">$C38*K$35</f>
        <v>-0</v>
      </c>
      <c r="Q38" s="0" t="n">
        <v>-3</v>
      </c>
      <c r="R38" s="10" t="n">
        <f aca="false">Q38^2</f>
        <v>9</v>
      </c>
      <c r="S38" s="10" t="n">
        <f aca="false">Q38/$R$41</f>
        <v>-0.566946709513841</v>
      </c>
      <c r="T38" s="10" t="n">
        <f aca="false">S38^2</f>
        <v>0.321428571428571</v>
      </c>
    </row>
    <row r="39" customFormat="false" ht="14.25" hidden="false" customHeight="false" outlineLevel="0" collapsed="false">
      <c r="C39" s="32" t="n">
        <v>0.5</v>
      </c>
      <c r="D39" s="32" t="n">
        <v>0.5159</v>
      </c>
      <c r="E39" s="32" t="n">
        <v>-0.5</v>
      </c>
      <c r="F39" s="32" t="n">
        <v>-0.2236</v>
      </c>
      <c r="G39" s="32" t="n">
        <v>0.1118</v>
      </c>
      <c r="H39" s="32" t="n">
        <v>-0.1878</v>
      </c>
      <c r="L39" s="10" t="n">
        <f aca="false">$C39*L$35</f>
        <v>-0.0939</v>
      </c>
    </row>
    <row r="40" customFormat="false" ht="14.25" hidden="false" customHeight="false" outlineLevel="0" collapsed="false">
      <c r="C40" s="32" t="n">
        <v>-0.5</v>
      </c>
      <c r="D40" s="32" t="n">
        <v>-0.0105</v>
      </c>
      <c r="E40" s="32" t="n">
        <v>0.5</v>
      </c>
      <c r="F40" s="32" t="n">
        <v>0.8944</v>
      </c>
      <c r="G40" s="32" t="n">
        <v>-0.4472</v>
      </c>
      <c r="H40" s="32" t="n">
        <v>0.879</v>
      </c>
      <c r="M40" s="10" t="n">
        <f aca="false">$C40*M$35</f>
        <v>-0.4395</v>
      </c>
      <c r="Q40" s="10" t="n">
        <f aca="false">SUM(Q33:Q39)</f>
        <v>0</v>
      </c>
      <c r="R40" s="10" t="n">
        <f aca="false">SUM(R33:R39)</f>
        <v>28</v>
      </c>
      <c r="T40" s="10" t="n">
        <f aca="false">SUM(T33:T39)</f>
        <v>1</v>
      </c>
    </row>
    <row r="41" customFormat="false" ht="14.25" hidden="false" customHeight="false" outlineLevel="0" collapsed="false">
      <c r="R41" s="0" t="n">
        <f aca="false">SQRT(R40)</f>
        <v>5.29150262212918</v>
      </c>
    </row>
    <row r="43" customFormat="false" ht="14.25" hidden="false" customHeight="false" outlineLevel="0" collapsed="false">
      <c r="C43" s="32" t="n">
        <v>0.5</v>
      </c>
      <c r="D43" s="32" t="n">
        <v>-0.5</v>
      </c>
      <c r="E43" s="32" t="n">
        <v>0</v>
      </c>
      <c r="F43" s="32" t="n">
        <v>0.5</v>
      </c>
      <c r="G43" s="32" t="n">
        <v>-0.5</v>
      </c>
      <c r="I43" s="0" t="str">
        <f aca="false">C43&amp;" \\ "&amp;D43&amp;" \\ "&amp;E43&amp;" \\ "&amp;F43&amp;" \\ "&amp;G43</f>
        <v>0,5 \\ -0,5 \\ 0 \\ 0,5 \\ -0,5</v>
      </c>
    </row>
    <row r="44" customFormat="false" ht="14.25" hidden="false" customHeight="false" outlineLevel="0" collapsed="false">
      <c r="C44" s="32" t="n">
        <v>0.3053</v>
      </c>
      <c r="D44" s="32" t="n">
        <v>-0.8002</v>
      </c>
      <c r="E44" s="32" t="n">
        <v>-0.0105</v>
      </c>
      <c r="F44" s="32" t="n">
        <v>0.5159</v>
      </c>
      <c r="G44" s="32" t="n">
        <v>-0.0105</v>
      </c>
    </row>
    <row r="45" customFormat="false" ht="14.25" hidden="false" customHeight="false" outlineLevel="0" collapsed="false">
      <c r="C45" s="32" t="n">
        <v>0.5</v>
      </c>
      <c r="D45" s="32" t="n">
        <v>-0.5</v>
      </c>
      <c r="E45" s="32" t="n">
        <v>0</v>
      </c>
      <c r="F45" s="32" t="n">
        <v>-0.5</v>
      </c>
      <c r="G45" s="32" t="n">
        <v>0.5</v>
      </c>
    </row>
    <row r="46" customFormat="false" ht="14.25" hidden="false" customHeight="false" outlineLevel="0" collapsed="false">
      <c r="C46" s="32" t="n">
        <v>-0.2236</v>
      </c>
      <c r="D46" s="32" t="n">
        <v>-0.2236</v>
      </c>
      <c r="E46" s="32" t="n">
        <v>-0.2236</v>
      </c>
      <c r="F46" s="32" t="n">
        <v>-0.2236</v>
      </c>
      <c r="G46" s="32" t="n">
        <v>0.8944</v>
      </c>
    </row>
    <row r="47" customFormat="false" ht="14.25" hidden="false" customHeight="false" outlineLevel="0" collapsed="false">
      <c r="C47" s="32" t="n">
        <v>0.1118</v>
      </c>
      <c r="D47" s="32" t="n">
        <v>0.1118</v>
      </c>
      <c r="E47" s="32" t="n">
        <v>0.1118</v>
      </c>
      <c r="F47" s="32" t="n">
        <v>0.1118</v>
      </c>
      <c r="G47" s="32" t="n">
        <v>-0.4472</v>
      </c>
    </row>
    <row r="48" customFormat="false" ht="14.25" hidden="false" customHeight="false" outlineLevel="0" collapsed="false">
      <c r="C48" s="32" t="n">
        <v>-0.1024</v>
      </c>
      <c r="D48" s="32" t="n">
        <v>-0.3584</v>
      </c>
      <c r="E48" s="32" t="n">
        <v>-0.2304</v>
      </c>
      <c r="F48" s="32" t="n">
        <v>-0.1878</v>
      </c>
      <c r="G48" s="32" t="n">
        <v>0.879</v>
      </c>
      <c r="I48" s="0" t="str">
        <f aca="false">C48&amp;" &amp; "&amp;D48&amp;" &amp; "&amp;E48&amp;" &amp; "&amp;F48&amp;" &amp; "&amp;G48</f>
        <v>-0,1024 &amp; -0,3584 &amp; -0,2304 &amp; -0,1878 &amp; 0,879</v>
      </c>
    </row>
    <row r="51" customFormat="false" ht="14.25" hidden="false" customHeight="false" outlineLevel="0" collapsed="false">
      <c r="C51" s="31"/>
      <c r="I51" s="32"/>
      <c r="J51" s="32"/>
      <c r="K51" s="32"/>
      <c r="L51" s="32"/>
      <c r="M51" s="32"/>
    </row>
    <row r="52" customFormat="false" ht="14.25" hidden="false" customHeight="false" outlineLevel="0" collapsed="false">
      <c r="C52" s="32" t="n">
        <v>0.5</v>
      </c>
      <c r="D52" s="32" t="n">
        <v>0.3053</v>
      </c>
      <c r="E52" s="32" t="n">
        <v>0.5</v>
      </c>
      <c r="F52" s="32" t="n">
        <v>-0.2236</v>
      </c>
      <c r="G52" s="32" t="n">
        <v>0.1118</v>
      </c>
      <c r="H52" s="33" t="n">
        <v>-0.1024</v>
      </c>
      <c r="J52" s="0" t="str">
        <f aca="false">D52&amp;" &amp; "&amp;H52&amp;" \\"</f>
        <v>0,3053 &amp; -0,1024 \\</v>
      </c>
    </row>
    <row r="53" customFormat="false" ht="14.25" hidden="false" customHeight="false" outlineLevel="0" collapsed="false">
      <c r="C53" s="32" t="n">
        <v>-0.5</v>
      </c>
      <c r="D53" s="32" t="n">
        <v>-0.8002</v>
      </c>
      <c r="E53" s="32" t="n">
        <v>-0.5</v>
      </c>
      <c r="F53" s="32" t="n">
        <v>-0.2236</v>
      </c>
      <c r="G53" s="32" t="n">
        <v>0.1118</v>
      </c>
      <c r="H53" s="33" t="n">
        <v>-0.3584</v>
      </c>
      <c r="J53" s="0" t="str">
        <f aca="false">D53&amp;" &amp; "&amp;H53&amp;" \\"</f>
        <v>-0,8002 &amp; -0,3584 \\</v>
      </c>
    </row>
    <row r="54" customFormat="false" ht="14.25" hidden="false" customHeight="false" outlineLevel="0" collapsed="false">
      <c r="C54" s="32" t="n">
        <v>0</v>
      </c>
      <c r="D54" s="32" t="n">
        <v>-0.0105</v>
      </c>
      <c r="E54" s="32" t="n">
        <v>0</v>
      </c>
      <c r="F54" s="32" t="n">
        <v>-0.2236</v>
      </c>
      <c r="G54" s="32" t="n">
        <v>0.1118</v>
      </c>
      <c r="H54" s="33" t="n">
        <v>-0.2304</v>
      </c>
      <c r="J54" s="0" t="str">
        <f aca="false">D54&amp;" &amp; "&amp;H54&amp;" \\"</f>
        <v>-0,0105 &amp; -0,2304 \\</v>
      </c>
    </row>
    <row r="55" customFormat="false" ht="14.25" hidden="false" customHeight="false" outlineLevel="0" collapsed="false">
      <c r="C55" s="32" t="n">
        <v>0.5</v>
      </c>
      <c r="D55" s="32" t="n">
        <v>0.5159</v>
      </c>
      <c r="E55" s="32" t="n">
        <v>-0.5</v>
      </c>
      <c r="F55" s="32" t="n">
        <v>-0.2236</v>
      </c>
      <c r="G55" s="32" t="n">
        <v>0.1118</v>
      </c>
      <c r="H55" s="33" t="n">
        <v>-0.1878</v>
      </c>
      <c r="J55" s="0" t="str">
        <f aca="false">D55&amp;" &amp; "&amp;H55&amp;" \\"</f>
        <v>0,5159 &amp; -0,1878 \\</v>
      </c>
    </row>
    <row r="56" customFormat="false" ht="14.25" hidden="false" customHeight="false" outlineLevel="0" collapsed="false">
      <c r="C56" s="32" t="n">
        <v>-0.5</v>
      </c>
      <c r="D56" s="32" t="n">
        <v>-0.0105</v>
      </c>
      <c r="E56" s="32" t="n">
        <v>0.5</v>
      </c>
      <c r="F56" s="32" t="n">
        <v>0.8944</v>
      </c>
      <c r="G56" s="32" t="n">
        <v>-0.4472</v>
      </c>
      <c r="H56" s="33" t="n">
        <v>0.879</v>
      </c>
      <c r="J56" s="0" t="str">
        <f aca="false">D56&amp;" &amp; "&amp;H56&amp;" \\"</f>
        <v>-0,0105 &amp; 0,879 \\</v>
      </c>
    </row>
    <row r="59" customFormat="false" ht="14.25" hidden="false" customHeight="false" outlineLevel="0" collapsed="false">
      <c r="C59" s="32" t="n">
        <v>0.5</v>
      </c>
      <c r="D59" s="32" t="n">
        <v>-0.5</v>
      </c>
      <c r="E59" s="32" t="n">
        <v>0</v>
      </c>
      <c r="F59" s="32" t="n">
        <v>0.5</v>
      </c>
      <c r="G59" s="32" t="n">
        <v>-0.5</v>
      </c>
      <c r="I59" s="0" t="str">
        <f aca="false">C59&amp;" \\ "&amp;D59&amp;" \\ "&amp;E59&amp;" \\ "&amp;F59&amp;" \\ "&amp;G59</f>
        <v>0,5 \\ -0,5 \\ 0 \\ 0,5 \\ -0,5</v>
      </c>
    </row>
    <row r="60" customFormat="false" ht="14.25" hidden="false" customHeight="false" outlineLevel="0" collapsed="false">
      <c r="C60" s="32" t="n">
        <v>0.3053</v>
      </c>
      <c r="D60" s="32" t="n">
        <v>-0.8002</v>
      </c>
      <c r="E60" s="32" t="n">
        <v>-0.0105</v>
      </c>
      <c r="F60" s="32" t="n">
        <v>0.5159</v>
      </c>
      <c r="G60" s="32" t="n">
        <v>-0.0105</v>
      </c>
      <c r="I60" s="0" t="str">
        <f aca="false">C60&amp;" &amp; "&amp;D60&amp;" &amp; "&amp;E60&amp;" &amp; "&amp;F60&amp;" &amp; "&amp;G60</f>
        <v>0,3053 &amp; -0,8002 &amp; -0,0105 &amp; 0,5159 &amp; -0,0105</v>
      </c>
    </row>
    <row r="61" customFormat="false" ht="14.25" hidden="false" customHeight="false" outlineLevel="0" collapsed="false">
      <c r="C61" s="32" t="n">
        <v>0.5</v>
      </c>
      <c r="D61" s="32" t="n">
        <v>-0.5</v>
      </c>
      <c r="E61" s="32" t="n">
        <v>0</v>
      </c>
      <c r="F61" s="32" t="n">
        <v>-0.5</v>
      </c>
      <c r="G61" s="32" t="n">
        <v>0.5</v>
      </c>
    </row>
    <row r="62" customFormat="false" ht="14.25" hidden="false" customHeight="false" outlineLevel="0" collapsed="false">
      <c r="C62" s="32" t="n">
        <v>-0.2236</v>
      </c>
      <c r="D62" s="32" t="n">
        <v>-0.2236</v>
      </c>
      <c r="E62" s="32" t="n">
        <v>-0.2236</v>
      </c>
      <c r="F62" s="32" t="n">
        <v>-0.2236</v>
      </c>
      <c r="G62" s="32" t="n">
        <v>0.8944</v>
      </c>
    </row>
    <row r="63" customFormat="false" ht="14.25" hidden="false" customHeight="false" outlineLevel="0" collapsed="false">
      <c r="C63" s="32" t="n">
        <v>0.1118</v>
      </c>
      <c r="D63" s="32" t="n">
        <v>0.1118</v>
      </c>
      <c r="E63" s="32" t="n">
        <v>0.1118</v>
      </c>
      <c r="F63" s="32" t="n">
        <v>0.1118</v>
      </c>
      <c r="G63" s="32" t="n">
        <v>-0.4472</v>
      </c>
    </row>
    <row r="64" customFormat="false" ht="14.25" hidden="false" customHeight="false" outlineLevel="0" collapsed="false">
      <c r="C64" s="32" t="n">
        <v>-0.1024</v>
      </c>
      <c r="D64" s="32" t="n">
        <v>-0.3584</v>
      </c>
      <c r="E64" s="32" t="n">
        <v>-0.2304</v>
      </c>
      <c r="F64" s="32" t="n">
        <v>-0.1878</v>
      </c>
      <c r="G64" s="32" t="n">
        <v>0.879</v>
      </c>
      <c r="I64" s="0" t="str">
        <f aca="false">C64&amp;" &amp; "&amp;D64&amp;" &amp; "&amp;E64&amp;" &amp; "&amp;F64&amp;" &amp; "&amp;G64</f>
        <v>-0,1024 &amp; -0,3584 &amp; -0,2304 &amp; -0,1878 &amp; 0,879</v>
      </c>
    </row>
    <row r="69" customFormat="false" ht="14.25" hidden="false" customHeight="false" outlineLevel="0" collapsed="false">
      <c r="C69" s="12" t="n">
        <v>0.5</v>
      </c>
      <c r="D69" s="12" t="n">
        <v>0.305347753478429</v>
      </c>
      <c r="E69" s="12" t="n">
        <v>0.5</v>
      </c>
      <c r="F69" s="12" t="n">
        <v>-0.223606797749979</v>
      </c>
      <c r="G69" s="12" t="n">
        <v>0.111803398874989</v>
      </c>
      <c r="H69" s="12" t="n">
        <v>-0.102410851573596</v>
      </c>
      <c r="J69" s="10" t="n">
        <f aca="false">C69*$H69</f>
        <v>-0.0512054257867981</v>
      </c>
      <c r="K69" s="10" t="n">
        <f aca="false">D69*$H69</f>
        <v>-0.0312709234598105</v>
      </c>
      <c r="L69" s="10" t="n">
        <f aca="false">E69*$H69</f>
        <v>-0.0512054257867981</v>
      </c>
      <c r="M69" s="10" t="n">
        <f aca="false">F69*$H69</f>
        <v>0.0228997625752202</v>
      </c>
      <c r="N69" s="10" t="n">
        <f aca="false">G69*$H69</f>
        <v>-0.0114498812876101</v>
      </c>
      <c r="O69" s="10" t="n">
        <f aca="false">H69*$H69</f>
        <v>0.0104879825200291</v>
      </c>
      <c r="Q69" s="0" t="str">
        <f aca="false">J69&amp;" &amp; "&amp;K69&amp;" &amp; "&amp;L69&amp;" &amp; "&amp;M69&amp;" &amp; "&amp;N69&amp;" &amp; "&amp;O69</f>
        <v>-0,0512054257867981 &amp; -0,0312709234598105 &amp; -0,0512054257867981 &amp; 0,0228997625752202 &amp; -0,0114498812876101 &amp; 0,0104879825200291</v>
      </c>
    </row>
    <row r="70" customFormat="false" ht="14.25" hidden="false" customHeight="false" outlineLevel="0" collapsed="false">
      <c r="C70" s="12" t="n">
        <v>-0.5</v>
      </c>
      <c r="D70" s="12" t="n">
        <v>-0.800221698771057</v>
      </c>
      <c r="E70" s="12" t="n">
        <v>-0.5</v>
      </c>
      <c r="F70" s="12" t="n">
        <v>-0.223606797749979</v>
      </c>
      <c r="G70" s="12" t="n">
        <v>0.111803398874989</v>
      </c>
      <c r="H70" s="12" t="n">
        <v>-0.358437980507586</v>
      </c>
      <c r="J70" s="10" t="n">
        <f aca="false">C70*$H70</f>
        <v>0.179218990253793</v>
      </c>
      <c r="K70" s="10" t="n">
        <f aca="false">D70*$H70</f>
        <v>0.286829849665848</v>
      </c>
      <c r="L70" s="10" t="n">
        <f aca="false">E70*$H70</f>
        <v>0.179218990253793</v>
      </c>
      <c r="M70" s="10" t="n">
        <f aca="false">F70*$H70</f>
        <v>0.0801491690132708</v>
      </c>
      <c r="N70" s="10" t="n">
        <f aca="false">G70*$H70</f>
        <v>-0.0400745845066354</v>
      </c>
      <c r="O70" s="10" t="n">
        <f aca="false">H70*$H70</f>
        <v>0.128477785870357</v>
      </c>
      <c r="Q70" s="0" t="str">
        <f aca="false">J70&amp;" &amp; "&amp;K70&amp;" &amp; "&amp;L70&amp;" &amp; "&amp;M70&amp;" &amp; "&amp;N70&amp;" &amp; "&amp;O70</f>
        <v>0,179218990253793 &amp; 0,286829849665848 &amp; 0,179218990253793 &amp; 0,0801491690132708 &amp; -0,0400745845066354 &amp; 0,128477785870357</v>
      </c>
    </row>
    <row r="71" customFormat="false" ht="14.25" hidden="false" customHeight="false" outlineLevel="0" collapsed="false">
      <c r="C71" s="12" t="n">
        <v>0</v>
      </c>
      <c r="D71" s="12" t="n">
        <v>-0.0105292328785665</v>
      </c>
      <c r="E71" s="12" t="n">
        <v>0</v>
      </c>
      <c r="F71" s="12" t="n">
        <v>-0.223606797749979</v>
      </c>
      <c r="G71" s="12" t="n">
        <v>0.111803398874989</v>
      </c>
      <c r="H71" s="12" t="n">
        <v>-0.230424416040591</v>
      </c>
      <c r="J71" s="10" t="n">
        <f aca="false">C71*$H71</f>
        <v>-0</v>
      </c>
      <c r="K71" s="10" t="n">
        <f aca="false">D71*$H71</f>
        <v>0.00242619233739909</v>
      </c>
      <c r="L71" s="10" t="n">
        <f aca="false">E71*$H71</f>
        <v>-0</v>
      </c>
      <c r="M71" s="10" t="n">
        <f aca="false">F71*$H71</f>
        <v>0.0515244657942455</v>
      </c>
      <c r="N71" s="10" t="n">
        <f aca="false">G71*$H71</f>
        <v>-0.0257622328971228</v>
      </c>
      <c r="O71" s="10" t="n">
        <f aca="false">H71*$H71</f>
        <v>0.0530954115076475</v>
      </c>
      <c r="Q71" s="0" t="str">
        <f aca="false">J71&amp;" &amp; "&amp;K71&amp;" &amp; "&amp;L71&amp;" &amp; "&amp;M71&amp;" &amp; "&amp;N71&amp;" &amp; "&amp;O71</f>
        <v>0 &amp; 0,00242619233739909 &amp; 0 &amp; 0,0515244657942455 &amp; -0,0257622328971228 &amp; 0,0530954115076475</v>
      </c>
    </row>
    <row r="72" customFormat="false" ht="14.25" hidden="false" customHeight="false" outlineLevel="0" collapsed="false">
      <c r="C72" s="12" t="n">
        <v>0.5</v>
      </c>
      <c r="D72" s="12" t="n">
        <v>0.51593241104976</v>
      </c>
      <c r="E72" s="12" t="n">
        <v>-0.5</v>
      </c>
      <c r="F72" s="12" t="n">
        <v>-0.223606797749979</v>
      </c>
      <c r="G72" s="12" t="n">
        <v>0.111803398874989</v>
      </c>
      <c r="H72" s="12" t="n">
        <v>-0.187753227884926</v>
      </c>
      <c r="J72" s="10" t="n">
        <f aca="false">C72*$H72</f>
        <v>-0.0938766139424631</v>
      </c>
      <c r="K72" s="10" t="n">
        <f aca="false">D72*$H72</f>
        <v>-0.0968679755450451</v>
      </c>
      <c r="L72" s="10" t="n">
        <f aca="false">E72*$H72</f>
        <v>0.0938766139424631</v>
      </c>
      <c r="M72" s="10" t="n">
        <f aca="false">F72*$H72</f>
        <v>0.0419828980545704</v>
      </c>
      <c r="N72" s="10" t="n">
        <f aca="false">G72*$H72</f>
        <v>-0.0209914490272852</v>
      </c>
      <c r="O72" s="10" t="n">
        <f aca="false">H72*$H72</f>
        <v>0.035251274581209</v>
      </c>
      <c r="Q72" s="0" t="str">
        <f aca="false">J72&amp;" &amp; "&amp;K72&amp;" &amp; "&amp;L72&amp;" &amp; "&amp;M72&amp;" &amp; "&amp;N72&amp;" &amp; "&amp;O72</f>
        <v>-0,0938766139424631 &amp; -0,0968679755450451 &amp; 0,0938766139424631 &amp; 0,0419828980545704 &amp; -0,0209914490272852 &amp; 0,035251274581209</v>
      </c>
    </row>
    <row r="73" customFormat="false" ht="14.25" hidden="false" customHeight="false" outlineLevel="0" collapsed="false">
      <c r="C73" s="12" t="n">
        <v>-0.5</v>
      </c>
      <c r="D73" s="12" t="n">
        <v>-0.0105292328785665</v>
      </c>
      <c r="E73" s="12" t="n">
        <v>0.5</v>
      </c>
      <c r="F73" s="12" t="n">
        <v>0.894427190999916</v>
      </c>
      <c r="G73" s="12" t="n">
        <v>-0.447213595499958</v>
      </c>
      <c r="H73" s="12" t="n">
        <v>0.8790264760067</v>
      </c>
      <c r="J73" s="10" t="n">
        <f aca="false">C73*$H73</f>
        <v>-0.43951323800335</v>
      </c>
      <c r="K73" s="10" t="n">
        <f aca="false">D73*$H73</f>
        <v>-0.00925547447230022</v>
      </c>
      <c r="L73" s="10" t="n">
        <f aca="false">E73*$H73</f>
        <v>0.43951323800335</v>
      </c>
      <c r="M73" s="10" t="n">
        <f aca="false">F73*$H73</f>
        <v>0.786225181749228</v>
      </c>
      <c r="N73" s="10" t="n">
        <f aca="false">G73*$H73</f>
        <v>-0.393112590874614</v>
      </c>
      <c r="O73" s="10" t="n">
        <f aca="false">H73*$H73</f>
        <v>0.772687545520758</v>
      </c>
      <c r="Q73" s="0" t="str">
        <f aca="false">J73&amp;" &amp; "&amp;K73&amp;" &amp; "&amp;L73&amp;" &amp; "&amp;M73&amp;" &amp; "&amp;N73&amp;" &amp; "&amp;O73</f>
        <v>-0,43951323800335 &amp; -0,00925547447230022 &amp; 0,43951323800335 &amp; 0,786225181749228 &amp; -0,393112590874614 &amp; 0,772687545520758</v>
      </c>
    </row>
    <row r="75" customFormat="false" ht="14.25" hidden="false" customHeight="false" outlineLevel="0" collapsed="false">
      <c r="J75" s="0" t="n">
        <f aca="false">SUM(J69:J74)</f>
        <v>-0.405376287478818</v>
      </c>
      <c r="K75" s="0" t="n">
        <f aca="false">SUM(K69:K74)</f>
        <v>0.151861668526091</v>
      </c>
      <c r="L75" s="0" t="n">
        <f aca="false">SUM(L69:L74)</f>
        <v>0.661403416412808</v>
      </c>
      <c r="M75" s="0" t="n">
        <f aca="false">SUM(M69:M74)</f>
        <v>0.982781477186535</v>
      </c>
      <c r="N75" s="0" t="n">
        <f aca="false">SUM(N69:N74)</f>
        <v>-0.491390738593267</v>
      </c>
      <c r="O75" s="0" t="n">
        <f aca="false">SUM(O69:O74)</f>
        <v>1</v>
      </c>
    </row>
    <row r="77" customFormat="false" ht="14.25" hidden="false" customHeight="false" outlineLevel="0" collapsed="false">
      <c r="I77" s="27" t="n">
        <v>2</v>
      </c>
      <c r="J77" s="10" t="n">
        <f aca="false">ROUND(J69,$I$77)</f>
        <v>-0.05</v>
      </c>
      <c r="K77" s="10" t="n">
        <f aca="false">ROUND(K69,$I$77)</f>
        <v>-0.03</v>
      </c>
      <c r="L77" s="10" t="n">
        <f aca="false">ROUND(L69,$I$77)</f>
        <v>-0.05</v>
      </c>
      <c r="M77" s="10" t="n">
        <f aca="false">ROUND(M69,$I$77)</f>
        <v>0.02</v>
      </c>
      <c r="N77" s="10" t="n">
        <f aca="false">ROUND(N69,$I$77)</f>
        <v>-0.01</v>
      </c>
      <c r="O77" s="10" t="n">
        <f aca="false">ROUND(O69,$I$77)</f>
        <v>0.01</v>
      </c>
      <c r="Q77" s="0" t="str">
        <f aca="false">J77&amp;" &amp; "&amp;K77&amp;" &amp; "&amp;L77&amp;" &amp; "&amp;M77&amp;" &amp; "&amp;N77&amp;" &amp; "&amp;O77</f>
        <v>-0,05 &amp; -0,03 &amp; -0,05 &amp; 0,02 &amp; -0,01 &amp; 0,01</v>
      </c>
    </row>
    <row r="78" customFormat="false" ht="14.25" hidden="false" customHeight="false" outlineLevel="0" collapsed="false">
      <c r="J78" s="0" t="n">
        <f aca="false">ROUND(J70,$I$77)</f>
        <v>0.18</v>
      </c>
      <c r="K78" s="0" t="n">
        <f aca="false">ROUND(K70,$I$77)</f>
        <v>0.29</v>
      </c>
      <c r="L78" s="0" t="n">
        <f aca="false">ROUND(L70,$I$77)</f>
        <v>0.18</v>
      </c>
      <c r="M78" s="0" t="n">
        <f aca="false">ROUND(M70,$I$77)</f>
        <v>0.08</v>
      </c>
      <c r="N78" s="0" t="n">
        <f aca="false">ROUND(N70,$I$77)</f>
        <v>-0.04</v>
      </c>
      <c r="O78" s="0" t="n">
        <f aca="false">ROUND(O70,$I$77)</f>
        <v>0.13</v>
      </c>
      <c r="Q78" s="0" t="str">
        <f aca="false">J78&amp;" &amp; "&amp;K78&amp;" &amp; "&amp;L78&amp;" &amp; "&amp;M78&amp;" &amp; "&amp;N78&amp;" &amp; "&amp;O78</f>
        <v>0,18 &amp; 0,29 &amp; 0,18 &amp; 0,08 &amp; -0,04 &amp; 0,13</v>
      </c>
    </row>
    <row r="79" customFormat="false" ht="14.25" hidden="false" customHeight="false" outlineLevel="0" collapsed="false">
      <c r="J79" s="0" t="n">
        <f aca="false">ROUND(J71,$I$77)</f>
        <v>-0</v>
      </c>
      <c r="K79" s="0" t="n">
        <f aca="false">ROUND(K71,$I$77)</f>
        <v>0</v>
      </c>
      <c r="L79" s="0" t="n">
        <f aca="false">ROUND(L71,$I$77)</f>
        <v>-0</v>
      </c>
      <c r="M79" s="0" t="n">
        <f aca="false">ROUND(M71,$I$77)</f>
        <v>0.05</v>
      </c>
      <c r="N79" s="0" t="n">
        <f aca="false">ROUND(N71,$I$77)</f>
        <v>-0.03</v>
      </c>
      <c r="O79" s="0" t="n">
        <f aca="false">ROUND(O71,$I$77)</f>
        <v>0.05</v>
      </c>
      <c r="Q79" s="0" t="str">
        <f aca="false">J79&amp;" &amp; "&amp;K79&amp;" &amp; "&amp;L79&amp;" &amp; "&amp;M79&amp;" &amp; "&amp;N79&amp;" &amp; "&amp;O79</f>
        <v>0 &amp; 0 &amp; 0 &amp; 0,05 &amp; -0,03 &amp; 0,05</v>
      </c>
    </row>
    <row r="80" customFormat="false" ht="14.25" hidden="false" customHeight="false" outlineLevel="0" collapsed="false">
      <c r="J80" s="0" t="n">
        <f aca="false">ROUND(J72,$I$77)</f>
        <v>-0.09</v>
      </c>
      <c r="K80" s="0" t="n">
        <f aca="false">ROUND(K72,$I$77)</f>
        <v>-0.1</v>
      </c>
      <c r="L80" s="0" t="n">
        <f aca="false">ROUND(L72,$I$77)</f>
        <v>0.09</v>
      </c>
      <c r="M80" s="0" t="n">
        <f aca="false">ROUND(M72,$I$77)</f>
        <v>0.04</v>
      </c>
      <c r="N80" s="0" t="n">
        <f aca="false">ROUND(N72,$I$77)</f>
        <v>-0.02</v>
      </c>
      <c r="O80" s="0" t="n">
        <f aca="false">ROUND(O72,$I$77)</f>
        <v>0.04</v>
      </c>
      <c r="Q80" s="0" t="str">
        <f aca="false">J80&amp;" &amp; "&amp;K80&amp;" &amp; "&amp;L80&amp;" &amp; "&amp;M80&amp;" &amp; "&amp;N80&amp;" &amp; "&amp;O80</f>
        <v>-0,09 &amp; -0,1 &amp; 0,09 &amp; 0,04 &amp; -0,02 &amp; 0,04</v>
      </c>
    </row>
    <row r="81" customFormat="false" ht="14.25" hidden="false" customHeight="false" outlineLevel="0" collapsed="false">
      <c r="J81" s="0" t="n">
        <f aca="false">ROUND(J73,$I$77)</f>
        <v>-0.44</v>
      </c>
      <c r="K81" s="0" t="n">
        <f aca="false">ROUND(K73,$I$77)</f>
        <v>-0.01</v>
      </c>
      <c r="L81" s="0" t="n">
        <f aca="false">ROUND(L73,$I$77)</f>
        <v>0.44</v>
      </c>
      <c r="M81" s="0" t="n">
        <f aca="false">ROUND(M73,$I$77)</f>
        <v>0.79</v>
      </c>
      <c r="N81" s="0" t="n">
        <f aca="false">ROUND(N73,$I$77)</f>
        <v>-0.39</v>
      </c>
      <c r="O81" s="0" t="n">
        <f aca="false">ROUND(O73,$I$77)</f>
        <v>0.77</v>
      </c>
      <c r="Q81" s="0" t="str">
        <f aca="false">J81&amp;" &amp; "&amp;K81&amp;" &amp; "&amp;L81&amp;" &amp; "&amp;M81&amp;" &amp; "&amp;N81&amp;" &amp; "&amp;O81</f>
        <v>-0,44 &amp; -0,01 &amp; 0,44 &amp; 0,79 &amp; -0,39 &amp; 0,77</v>
      </c>
    </row>
    <row r="83" customFormat="false" ht="14.25" hidden="false" customHeight="false" outlineLevel="0" collapsed="false">
      <c r="J83" s="0" t="n">
        <f aca="false">SUM(J77:J82)</f>
        <v>-0.4</v>
      </c>
      <c r="K83" s="0" t="n">
        <f aca="false">SUM(K77:K82)</f>
        <v>0.15</v>
      </c>
      <c r="L83" s="0" t="n">
        <f aca="false">SUM(L77:L82)</f>
        <v>0.66</v>
      </c>
      <c r="M83" s="0" t="n">
        <f aca="false">SUM(M77:M82)</f>
        <v>0.98</v>
      </c>
      <c r="N83" s="0" t="n">
        <f aca="false">SUM(N77:N82)</f>
        <v>-0.49</v>
      </c>
      <c r="O83" s="0" t="n">
        <f aca="false">SUM(O77:O82)</f>
        <v>1</v>
      </c>
      <c r="Q83" s="0" t="str">
        <f aca="false">J83&amp;" &amp; "&amp;K83&amp;" &amp; "&amp;L83&amp;" &amp; "&amp;M83&amp;" &amp; "&amp;N83&amp;" &amp; "&amp;O83&amp;" \\"</f>
        <v>-0,4 &amp; 0,15 &amp; 0,66 &amp; 0,98 &amp; -0,49 &amp; 1 \\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2:Z21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Z5" activeCellId="0" sqref="Z5"/>
    </sheetView>
  </sheetViews>
  <sheetFormatPr defaultColWidth="8.59765625" defaultRowHeight="14.25" zeroHeight="false" outlineLevelRow="0" outlineLevelCol="0"/>
  <cols>
    <col collapsed="false" customWidth="true" hidden="false" outlineLevel="0" max="18" min="17" style="0" width="12"/>
    <col collapsed="false" customWidth="true" hidden="false" outlineLevel="0" max="19" min="19" style="0" width="12.73"/>
    <col collapsed="false" customWidth="true" hidden="false" outlineLevel="0" max="21" min="21" style="0" width="12.73"/>
    <col collapsed="false" customWidth="true" hidden="false" outlineLevel="0" max="22" min="22" style="0" width="11.73"/>
  </cols>
  <sheetData>
    <row r="2" customFormat="false" ht="14.25" hidden="false" customHeight="false" outlineLevel="0" collapsed="false">
      <c r="U2" s="27" t="s">
        <v>106</v>
      </c>
      <c r="V2" s="27"/>
      <c r="W2" s="27"/>
    </row>
    <row r="3" customFormat="false" ht="14.25" hidden="false" customHeight="false" outlineLevel="0" collapsed="false">
      <c r="P3" s="0" t="s">
        <v>107</v>
      </c>
      <c r="Q3" s="0" t="s">
        <v>108</v>
      </c>
      <c r="R3" s="0" t="s">
        <v>109</v>
      </c>
      <c r="S3" s="0" t="s">
        <v>110</v>
      </c>
      <c r="U3" s="27" t="s">
        <v>111</v>
      </c>
      <c r="V3" s="27" t="s">
        <v>112</v>
      </c>
      <c r="W3" s="27"/>
      <c r="Y3" s="34"/>
      <c r="Z3" s="34" t="s">
        <v>113</v>
      </c>
    </row>
    <row r="4" customFormat="false" ht="14.25" hidden="false" customHeight="false" outlineLevel="0" collapsed="false">
      <c r="O4" s="0" t="n">
        <v>1</v>
      </c>
      <c r="P4" s="0" t="n">
        <f aca="false">AVERAGE(O4:O7)</f>
        <v>1.25</v>
      </c>
      <c r="Q4" s="0" t="n">
        <f aca="false">O4-P4</f>
        <v>-0.25</v>
      </c>
      <c r="R4" s="0" t="n">
        <f aca="false">Q4^2</f>
        <v>0.0625</v>
      </c>
      <c r="S4" s="0" t="n">
        <f aca="false">Q4/$R$10</f>
        <v>-0.288675134594813</v>
      </c>
      <c r="U4" s="27" t="n">
        <f aca="false">S4+S13</f>
        <v>-0.486968826752467</v>
      </c>
      <c r="V4" s="27" t="n">
        <f aca="false">U4/SQRT(2)</f>
        <v>-0.344338959623127</v>
      </c>
      <c r="W4" s="27" t="n">
        <f aca="false">ROUND(V4,2)</f>
        <v>-0.34</v>
      </c>
      <c r="X4" s="10" t="n">
        <f aca="false">U4^2</f>
        <v>0.237138638228674</v>
      </c>
      <c r="Y4" s="10" t="n">
        <f aca="false">U4/$X$10</f>
        <v>-0.24396044147422</v>
      </c>
      <c r="Z4" s="34" t="n">
        <f aca="false">ROUND(Y4,2)</f>
        <v>-0.24</v>
      </c>
    </row>
    <row r="5" customFormat="false" ht="14.25" hidden="false" customHeight="false" outlineLevel="0" collapsed="false">
      <c r="O5" s="0" t="n">
        <v>2</v>
      </c>
      <c r="P5" s="0" t="n">
        <f aca="false">AVERAGE(O4:O7)</f>
        <v>1.25</v>
      </c>
      <c r="Q5" s="0" t="n">
        <f aca="false">O5-P5</f>
        <v>0.75</v>
      </c>
      <c r="R5" s="0" t="n">
        <f aca="false">Q5^2</f>
        <v>0.5625</v>
      </c>
      <c r="S5" s="0" t="n">
        <f aca="false">Q5/$R$10</f>
        <v>0.866025403784439</v>
      </c>
      <c r="U5" s="27" t="n">
        <f aca="false">S5+S14</f>
        <v>1.72529806980094</v>
      </c>
      <c r="V5" s="27" t="n">
        <f aca="false">U5/SQRT(2)</f>
        <v>1.21996996472431</v>
      </c>
      <c r="W5" s="35" t="n">
        <f aca="false">ROUND(V5,2)</f>
        <v>1.22</v>
      </c>
      <c r="X5" s="10" t="n">
        <f aca="false">U5^2</f>
        <v>2.97665342965885</v>
      </c>
      <c r="Y5" s="10" t="n">
        <f aca="false">U5/$X$10</f>
        <v>0.864335570698057</v>
      </c>
      <c r="Z5" s="36" t="n">
        <f aca="false">ROUND(Y5,2)</f>
        <v>0.86</v>
      </c>
    </row>
    <row r="6" customFormat="false" ht="14.25" hidden="false" customHeight="false" outlineLevel="0" collapsed="false">
      <c r="O6" s="0" t="n">
        <v>1</v>
      </c>
      <c r="P6" s="0" t="n">
        <f aca="false">AVERAGE(O4:O7)</f>
        <v>1.25</v>
      </c>
      <c r="Q6" s="0" t="n">
        <f aca="false">O6-P6</f>
        <v>-0.25</v>
      </c>
      <c r="R6" s="0" t="n">
        <f aca="false">Q6^2</f>
        <v>0.0625</v>
      </c>
      <c r="S6" s="0" t="n">
        <f aca="false">Q6/$R$10</f>
        <v>-0.288675134594813</v>
      </c>
      <c r="U6" s="27" t="n">
        <f aca="false">S6+S15</f>
        <v>-0.575099356600314</v>
      </c>
      <c r="V6" s="27" t="n">
        <f aca="false">U6/SQRT(2)</f>
        <v>-0.406656654908102</v>
      </c>
      <c r="W6" s="27" t="n">
        <f aca="false">ROUND(V6,2)</f>
        <v>-0.41</v>
      </c>
      <c r="X6" s="10" t="n">
        <f aca="false">U6^2</f>
        <v>0.330739269962095</v>
      </c>
      <c r="Y6" s="10" t="n">
        <f aca="false">U6/$X$10</f>
        <v>-0.288111856899352</v>
      </c>
      <c r="Z6" s="34" t="n">
        <f aca="false">ROUND(Y6,2)</f>
        <v>-0.29</v>
      </c>
    </row>
    <row r="7" customFormat="false" ht="14.25" hidden="false" customHeight="false" outlineLevel="0" collapsed="false">
      <c r="O7" s="0" t="n">
        <v>1</v>
      </c>
      <c r="P7" s="0" t="n">
        <f aca="false">AVERAGE(O4:O7)</f>
        <v>1.25</v>
      </c>
      <c r="Q7" s="0" t="n">
        <f aca="false">O7-P7</f>
        <v>-0.25</v>
      </c>
      <c r="R7" s="0" t="n">
        <f aca="false">Q7^2</f>
        <v>0.0625</v>
      </c>
      <c r="S7" s="0" t="n">
        <f aca="false">Q7/$R$10</f>
        <v>-0.288675134594813</v>
      </c>
      <c r="U7" s="27" t="n">
        <f aca="false">S7+S16</f>
        <v>-0.66322988644816</v>
      </c>
      <c r="V7" s="27" t="n">
        <f aca="false">U7/SQRT(2)</f>
        <v>-0.468974350193078</v>
      </c>
      <c r="W7" s="27" t="n">
        <f aca="false">ROUND(V7,2)</f>
        <v>-0.47</v>
      </c>
      <c r="X7" s="10" t="n">
        <f aca="false">U7^2</f>
        <v>0.439873882278039</v>
      </c>
      <c r="Y7" s="10" t="n">
        <f aca="false">U7/$X$10</f>
        <v>-0.332263272324485</v>
      </c>
      <c r="Z7" s="34" t="n">
        <f aca="false">ROUND(Y7,2)</f>
        <v>-0.33</v>
      </c>
    </row>
    <row r="8" customFormat="false" ht="14.25" hidden="false" customHeight="false" outlineLevel="0" collapsed="false">
      <c r="U8" s="27"/>
      <c r="V8" s="27"/>
      <c r="W8" s="27"/>
    </row>
    <row r="9" customFormat="false" ht="14.25" hidden="false" customHeight="false" outlineLevel="0" collapsed="false">
      <c r="P9" s="0" t="s">
        <v>114</v>
      </c>
      <c r="R9" s="0" t="n">
        <f aca="false">SUM(R4:R7)</f>
        <v>0.75</v>
      </c>
      <c r="U9" s="27"/>
      <c r="V9" s="27" t="n">
        <f aca="false">V4^2+V5^2+V6^2+V7^2</f>
        <v>1.99220261006383</v>
      </c>
      <c r="W9" s="37" t="s">
        <v>114</v>
      </c>
      <c r="X9" s="34" t="n">
        <f aca="false">SUM(X4:X7)</f>
        <v>3.98440522012766</v>
      </c>
      <c r="Y9" s="10" t="n">
        <f aca="false">SUM(Y4:Y7)</f>
        <v>0</v>
      </c>
      <c r="Z9" s="10" t="n">
        <f aca="false">SUM(Z4:Z7)</f>
        <v>0</v>
      </c>
    </row>
    <row r="10" customFormat="false" ht="14.25" hidden="false" customHeight="false" outlineLevel="0" collapsed="false">
      <c r="P10" s="0" t="s">
        <v>115</v>
      </c>
      <c r="R10" s="0" t="n">
        <f aca="false">SQRT(R9)</f>
        <v>0.866025403784439</v>
      </c>
      <c r="W10" s="37" t="s">
        <v>112</v>
      </c>
      <c r="X10" s="34" t="n">
        <f aca="false">SQRT(X9)</f>
        <v>1.99609749765077</v>
      </c>
    </row>
    <row r="12" customFormat="false" ht="14.25" hidden="false" customHeight="false" outlineLevel="0" collapsed="false">
      <c r="Q12" s="0" t="s">
        <v>108</v>
      </c>
      <c r="S12" s="0" t="s">
        <v>116</v>
      </c>
      <c r="W12" s="0" t="s">
        <v>117</v>
      </c>
      <c r="X12" s="0" t="n">
        <f aca="false">SQRT(2)</f>
        <v>1.4142135623731</v>
      </c>
    </row>
    <row r="13" customFormat="false" ht="14.25" hidden="false" customHeight="false" outlineLevel="0" collapsed="false">
      <c r="O13" s="0" t="n">
        <v>70</v>
      </c>
      <c r="P13" s="0" t="n">
        <f aca="false">AVERAGE(O13:O16)</f>
        <v>81.25</v>
      </c>
      <c r="Q13" s="0" t="n">
        <f aca="false">O13-P13</f>
        <v>-11.25</v>
      </c>
      <c r="R13" s="0" t="n">
        <f aca="false">Q13^2</f>
        <v>126.5625</v>
      </c>
      <c r="S13" s="0" t="n">
        <f aca="false">Q13/$R$19</f>
        <v>-0.198293692157654</v>
      </c>
    </row>
    <row r="14" customFormat="false" ht="14.25" hidden="false" customHeight="false" outlineLevel="0" collapsed="false">
      <c r="O14" s="0" t="n">
        <v>130</v>
      </c>
      <c r="P14" s="0" t="n">
        <f aca="false">AVERAGE(O13:O16)</f>
        <v>81.25</v>
      </c>
      <c r="Q14" s="0" t="n">
        <f aca="false">O14-P14</f>
        <v>48.75</v>
      </c>
      <c r="R14" s="0" t="n">
        <f aca="false">Q14^2</f>
        <v>2376.5625</v>
      </c>
      <c r="S14" s="0" t="n">
        <f aca="false">Q14/$R$19</f>
        <v>0.859272666016502</v>
      </c>
    </row>
    <row r="15" customFormat="false" ht="14.25" hidden="false" customHeight="false" outlineLevel="0" collapsed="false">
      <c r="O15" s="0" t="n">
        <v>65</v>
      </c>
      <c r="P15" s="0" t="n">
        <f aca="false">AVERAGE(O13:O16)</f>
        <v>81.25</v>
      </c>
      <c r="Q15" s="0" t="n">
        <f aca="false">O15-P15</f>
        <v>-16.25</v>
      </c>
      <c r="R15" s="0" t="n">
        <f aca="false">Q15^2</f>
        <v>264.0625</v>
      </c>
      <c r="S15" s="0" t="n">
        <f aca="false">Q15/$R$19</f>
        <v>-0.286424222005501</v>
      </c>
    </row>
    <row r="16" customFormat="false" ht="14.25" hidden="false" customHeight="false" outlineLevel="0" collapsed="false">
      <c r="G16" s="0" t="n">
        <v>1</v>
      </c>
      <c r="H16" s="0" t="n">
        <v>3</v>
      </c>
      <c r="I16" s="0" t="n">
        <v>5</v>
      </c>
      <c r="J16" s="0" t="n">
        <f aca="false">G16</f>
        <v>1</v>
      </c>
      <c r="K16" s="0" t="n">
        <f aca="false">H16</f>
        <v>3</v>
      </c>
      <c r="O16" s="0" t="n">
        <v>60</v>
      </c>
      <c r="P16" s="0" t="n">
        <f aca="false">AVERAGE(O13:O16)</f>
        <v>81.25</v>
      </c>
      <c r="Q16" s="0" t="n">
        <f aca="false">O16-P16</f>
        <v>-21.25</v>
      </c>
      <c r="R16" s="0" t="n">
        <f aca="false">Q16^2</f>
        <v>451.5625</v>
      </c>
      <c r="S16" s="0" t="n">
        <f aca="false">Q16/$R$19</f>
        <v>-0.374554751853347</v>
      </c>
    </row>
    <row r="17" customFormat="false" ht="14.25" hidden="false" customHeight="false" outlineLevel="0" collapsed="false">
      <c r="G17" s="0" t="n">
        <v>4</v>
      </c>
      <c r="H17" s="0" t="n">
        <v>-4</v>
      </c>
      <c r="I17" s="0" t="n">
        <v>9</v>
      </c>
      <c r="J17" s="0" t="n">
        <f aca="false">G17</f>
        <v>4</v>
      </c>
      <c r="K17" s="0" t="n">
        <f aca="false">H17</f>
        <v>-4</v>
      </c>
    </row>
    <row r="18" customFormat="false" ht="14.25" hidden="false" customHeight="false" outlineLevel="0" collapsed="false">
      <c r="G18" s="0" t="n">
        <v>13</v>
      </c>
      <c r="H18" s="0" t="n">
        <v>7</v>
      </c>
      <c r="I18" s="0" t="n">
        <v>12</v>
      </c>
      <c r="J18" s="0" t="n">
        <f aca="false">G18</f>
        <v>13</v>
      </c>
      <c r="K18" s="0" t="n">
        <f aca="false">H18</f>
        <v>7</v>
      </c>
      <c r="Q18" s="0" t="n">
        <f aca="false">Q13^2+Q14^2+Q15^2+Q16^2</f>
        <v>3218.75</v>
      </c>
      <c r="R18" s="0" t="n">
        <f aca="false">SUM(R13:R16)</f>
        <v>3218.75</v>
      </c>
    </row>
    <row r="19" customFormat="false" ht="14.25" hidden="false" customHeight="false" outlineLevel="0" collapsed="false">
      <c r="Q19" s="0" t="n">
        <f aca="false">SQRT(Q18)</f>
        <v>56.7340285895511</v>
      </c>
      <c r="R19" s="0" t="n">
        <f aca="false">SQRT(R18)</f>
        <v>56.7340285895511</v>
      </c>
    </row>
    <row r="20" customFormat="false" ht="14.25" hidden="false" customHeight="false" outlineLevel="0" collapsed="false">
      <c r="G20" s="0" t="n">
        <f aca="false">G16*H17*I18</f>
        <v>-48</v>
      </c>
      <c r="H20" s="0" t="n">
        <f aca="false">H16*I17*J18</f>
        <v>351</v>
      </c>
      <c r="I20" s="0" t="n">
        <f aca="false">I16*J17*K18</f>
        <v>140</v>
      </c>
      <c r="K20" s="0" t="n">
        <f aca="false">G20+H20+I20</f>
        <v>443</v>
      </c>
    </row>
    <row r="21" customFormat="false" ht="14.25" hidden="false" customHeight="false" outlineLevel="0" collapsed="false">
      <c r="G21" s="0" t="n">
        <f aca="false">G18*H17*I16</f>
        <v>-260</v>
      </c>
      <c r="H21" s="0" t="n">
        <f aca="false">H18*I17*J16</f>
        <v>63</v>
      </c>
      <c r="I21" s="0" t="n">
        <f aca="false">I18*J17*K16</f>
        <v>144</v>
      </c>
      <c r="K21" s="0" t="n">
        <f aca="false">G21+H21+I21</f>
        <v>-53</v>
      </c>
      <c r="L21" s="22" t="n">
        <f aca="false">K20-K21</f>
        <v>496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2025-10-05T12:07:44Z</dcterms:created>
  <dc:creator>Office</dc:creator>
  <dc:description/>
  <dc:language>ru-RU</dc:language>
  <cp:lastModifiedBy/>
  <dcterms:modified xsi:type="dcterms:W3CDTF">2026-01-15T01:39:09Z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